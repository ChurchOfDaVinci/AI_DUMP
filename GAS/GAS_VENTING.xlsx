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Git\AI_DUMP\GAS\"/>
    </mc:Choice>
  </mc:AlternateContent>
  <xr:revisionPtr revIDLastSave="0" documentId="13_ncr:1_{2B6478F5-987B-45C4-826E-31BD1B753C98}" xr6:coauthVersionLast="47" xr6:coauthVersionMax="47" xr10:uidLastSave="{00000000-0000-0000-0000-000000000000}"/>
  <bookViews>
    <workbookView xWindow="0" yWindow="300" windowWidth="29040" windowHeight="17640" activeTab="2" xr2:uid="{3EF58667-BCE5-4DDB-BABF-9F4E2991E975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3" l="1"/>
  <c r="C4" i="3"/>
  <c r="K3" i="3"/>
  <c r="G2" i="3"/>
  <c r="K9" i="3"/>
  <c r="K10" i="3" s="1"/>
  <c r="F2" i="3"/>
  <c r="D3" i="3"/>
  <c r="E2" i="3"/>
  <c r="C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2" i="3"/>
  <c r="B22" i="1"/>
  <c r="B21" i="1"/>
  <c r="B16" i="1"/>
  <c r="B14" i="1"/>
  <c r="B15" i="1"/>
  <c r="B13" i="1"/>
  <c r="B10" i="1"/>
  <c r="B5" i="1"/>
  <c r="B7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2" i="2"/>
  <c r="H4" i="2" s="1"/>
  <c r="H2" i="2"/>
  <c r="B4" i="1"/>
  <c r="G3" i="3" l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G1002" i="3" s="1"/>
  <c r="G1003" i="3" s="1"/>
  <c r="G1004" i="3" s="1"/>
  <c r="G1005" i="3" s="1"/>
  <c r="G1006" i="3" s="1"/>
  <c r="G1007" i="3" s="1"/>
  <c r="G1008" i="3" s="1"/>
  <c r="G1009" i="3" s="1"/>
  <c r="G1010" i="3" s="1"/>
  <c r="G1011" i="3" s="1"/>
  <c r="G1012" i="3" s="1"/>
  <c r="G1013" i="3" s="1"/>
  <c r="G1014" i="3" s="1"/>
  <c r="G1015" i="3" s="1"/>
  <c r="G1016" i="3" s="1"/>
  <c r="G1017" i="3" s="1"/>
  <c r="G1018" i="3" s="1"/>
  <c r="G1019" i="3" s="1"/>
  <c r="G1020" i="3" s="1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G1031" i="3" s="1"/>
  <c r="G1032" i="3" s="1"/>
  <c r="G1033" i="3" s="1"/>
  <c r="G1034" i="3" s="1"/>
  <c r="G1035" i="3" s="1"/>
  <c r="G1036" i="3" s="1"/>
  <c r="G1037" i="3" s="1"/>
  <c r="G1038" i="3" s="1"/>
  <c r="G1039" i="3" s="1"/>
  <c r="G1040" i="3" s="1"/>
  <c r="G1041" i="3" s="1"/>
  <c r="G1042" i="3" s="1"/>
  <c r="G1043" i="3" s="1"/>
  <c r="G1044" i="3" s="1"/>
  <c r="G1045" i="3" s="1"/>
  <c r="G1046" i="3" s="1"/>
  <c r="G1047" i="3" s="1"/>
  <c r="G1048" i="3" s="1"/>
  <c r="G1049" i="3" s="1"/>
  <c r="G1050" i="3" s="1"/>
  <c r="G1051" i="3" s="1"/>
  <c r="G1052" i="3" s="1"/>
  <c r="G1053" i="3" s="1"/>
  <c r="G1054" i="3" s="1"/>
  <c r="G1055" i="3" s="1"/>
  <c r="G1056" i="3" s="1"/>
  <c r="G1057" i="3" s="1"/>
  <c r="G1058" i="3" s="1"/>
  <c r="G1059" i="3" s="1"/>
  <c r="G1060" i="3" s="1"/>
  <c r="G1061" i="3" s="1"/>
  <c r="G1062" i="3" s="1"/>
  <c r="G1063" i="3" s="1"/>
  <c r="G1064" i="3" s="1"/>
  <c r="G1065" i="3" s="1"/>
  <c r="G1066" i="3" s="1"/>
  <c r="G1067" i="3" s="1"/>
  <c r="G1068" i="3" s="1"/>
  <c r="G1069" i="3" s="1"/>
  <c r="G1070" i="3" s="1"/>
  <c r="G1071" i="3" s="1"/>
  <c r="G1072" i="3" s="1"/>
  <c r="G1073" i="3" s="1"/>
  <c r="G1074" i="3" s="1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G1085" i="3" s="1"/>
  <c r="G1086" i="3" s="1"/>
  <c r="G1087" i="3" s="1"/>
  <c r="G1088" i="3" s="1"/>
  <c r="G1089" i="3" s="1"/>
  <c r="G1090" i="3" s="1"/>
  <c r="G1091" i="3" s="1"/>
  <c r="G1092" i="3" s="1"/>
  <c r="G1093" i="3" s="1"/>
  <c r="G1094" i="3" s="1"/>
  <c r="G1095" i="3" s="1"/>
  <c r="G1096" i="3" s="1"/>
  <c r="G1097" i="3" s="1"/>
  <c r="G1098" i="3" s="1"/>
  <c r="G1099" i="3" s="1"/>
  <c r="G1100" i="3" s="1"/>
  <c r="G1101" i="3" s="1"/>
  <c r="G1102" i="3" s="1"/>
  <c r="G1103" i="3" s="1"/>
  <c r="G1104" i="3" s="1"/>
  <c r="G1105" i="3" s="1"/>
  <c r="G1106" i="3" s="1"/>
  <c r="G1107" i="3" s="1"/>
  <c r="G1108" i="3" s="1"/>
  <c r="G1109" i="3" s="1"/>
  <c r="G1110" i="3" s="1"/>
  <c r="G1111" i="3" s="1"/>
  <c r="G1112" i="3" s="1"/>
  <c r="G1113" i="3" s="1"/>
  <c r="G1114" i="3" s="1"/>
  <c r="G1115" i="3" s="1"/>
  <c r="G1116" i="3" s="1"/>
  <c r="G1117" i="3" s="1"/>
  <c r="G1118" i="3" s="1"/>
  <c r="G1119" i="3" s="1"/>
  <c r="G1120" i="3" s="1"/>
  <c r="G1121" i="3" s="1"/>
  <c r="G1122" i="3" s="1"/>
  <c r="G1123" i="3" s="1"/>
  <c r="G1124" i="3" s="1"/>
  <c r="G1125" i="3" s="1"/>
  <c r="G1126" i="3" s="1"/>
  <c r="G1127" i="3" s="1"/>
  <c r="G1128" i="3" s="1"/>
  <c r="G1129" i="3" s="1"/>
  <c r="G1130" i="3" s="1"/>
  <c r="G1131" i="3" s="1"/>
  <c r="G1132" i="3" s="1"/>
  <c r="G1133" i="3" s="1"/>
  <c r="G1134" i="3" s="1"/>
  <c r="G1135" i="3" s="1"/>
  <c r="G1136" i="3" s="1"/>
  <c r="G1137" i="3" s="1"/>
  <c r="G1138" i="3" s="1"/>
  <c r="G1139" i="3" s="1"/>
  <c r="G1140" i="3" s="1"/>
  <c r="G1141" i="3" s="1"/>
  <c r="G1142" i="3" s="1"/>
  <c r="G1143" i="3" s="1"/>
  <c r="G1144" i="3" s="1"/>
  <c r="G1145" i="3" s="1"/>
  <c r="G1146" i="3" s="1"/>
  <c r="G1147" i="3" s="1"/>
  <c r="G1148" i="3" s="1"/>
  <c r="G1149" i="3" s="1"/>
  <c r="G1150" i="3" s="1"/>
  <c r="G1151" i="3" s="1"/>
  <c r="G1152" i="3" s="1"/>
  <c r="G1153" i="3" s="1"/>
  <c r="G1154" i="3" s="1"/>
  <c r="G1155" i="3" s="1"/>
  <c r="G1156" i="3" s="1"/>
  <c r="G1157" i="3" s="1"/>
  <c r="G1158" i="3" s="1"/>
  <c r="G1159" i="3" s="1"/>
  <c r="G1160" i="3" s="1"/>
  <c r="G1161" i="3" s="1"/>
  <c r="G1162" i="3" s="1"/>
  <c r="G1163" i="3" s="1"/>
  <c r="G1164" i="3" s="1"/>
  <c r="G1165" i="3" s="1"/>
  <c r="G1166" i="3" s="1"/>
  <c r="G1167" i="3" s="1"/>
  <c r="G1168" i="3" s="1"/>
  <c r="G1169" i="3" s="1"/>
  <c r="G1170" i="3" s="1"/>
  <c r="G1171" i="3" s="1"/>
  <c r="G1172" i="3" s="1"/>
  <c r="G1173" i="3" s="1"/>
  <c r="G1174" i="3" s="1"/>
  <c r="G1175" i="3" s="1"/>
  <c r="G1176" i="3" s="1"/>
  <c r="G1177" i="3" s="1"/>
  <c r="G1178" i="3" s="1"/>
  <c r="G1179" i="3" s="1"/>
  <c r="G1180" i="3" s="1"/>
  <c r="G1181" i="3" s="1"/>
  <c r="G1182" i="3" s="1"/>
  <c r="G1183" i="3" s="1"/>
  <c r="G1184" i="3" s="1"/>
  <c r="G1185" i="3" s="1"/>
  <c r="G1186" i="3" s="1"/>
  <c r="G1187" i="3" s="1"/>
  <c r="G1188" i="3" s="1"/>
  <c r="G1189" i="3" s="1"/>
  <c r="G1190" i="3" s="1"/>
  <c r="G1191" i="3" s="1"/>
  <c r="G1192" i="3" s="1"/>
  <c r="G1193" i="3" s="1"/>
  <c r="G1194" i="3" s="1"/>
  <c r="G1195" i="3" s="1"/>
  <c r="G1196" i="3" s="1"/>
  <c r="G1197" i="3" s="1"/>
  <c r="G1198" i="3" s="1"/>
  <c r="G1199" i="3" s="1"/>
  <c r="G1200" i="3" s="1"/>
  <c r="G1201" i="3" s="1"/>
  <c r="G1202" i="3" s="1"/>
  <c r="E3" i="3"/>
  <c r="F3" i="3" l="1"/>
  <c r="E4" i="3"/>
  <c r="D5" i="3" l="1"/>
  <c r="E5" i="3" s="1"/>
  <c r="F4" i="3"/>
  <c r="D6" i="3"/>
  <c r="E6" i="3" s="1"/>
  <c r="F5" i="3"/>
  <c r="D7" i="3" l="1"/>
  <c r="E7" i="3" s="1"/>
  <c r="F6" i="3"/>
  <c r="D8" i="3" l="1"/>
  <c r="E8" i="3" s="1"/>
  <c r="F7" i="3"/>
  <c r="D9" i="3" l="1"/>
  <c r="E9" i="3" s="1"/>
  <c r="F8" i="3"/>
  <c r="D10" i="3" l="1"/>
  <c r="E10" i="3" s="1"/>
  <c r="F9" i="3"/>
  <c r="D11" i="3" l="1"/>
  <c r="E11" i="3" s="1"/>
  <c r="F10" i="3"/>
  <c r="D12" i="3" l="1"/>
  <c r="E12" i="3" s="1"/>
  <c r="F11" i="3"/>
  <c r="D13" i="3" l="1"/>
  <c r="E13" i="3" s="1"/>
  <c r="F12" i="3"/>
  <c r="D14" i="3" l="1"/>
  <c r="E14" i="3" s="1"/>
  <c r="F13" i="3"/>
  <c r="D15" i="3" l="1"/>
  <c r="E15" i="3" s="1"/>
  <c r="F14" i="3"/>
  <c r="D16" i="3" l="1"/>
  <c r="E16" i="3" s="1"/>
  <c r="F15" i="3"/>
  <c r="D17" i="3" l="1"/>
  <c r="E17" i="3" s="1"/>
  <c r="F16" i="3"/>
  <c r="D18" i="3" l="1"/>
  <c r="E18" i="3" s="1"/>
  <c r="F17" i="3"/>
  <c r="D19" i="3" l="1"/>
  <c r="E19" i="3" s="1"/>
  <c r="F18" i="3"/>
  <c r="D20" i="3" l="1"/>
  <c r="E20" i="3" s="1"/>
  <c r="F19" i="3"/>
  <c r="D21" i="3" l="1"/>
  <c r="E21" i="3" s="1"/>
  <c r="F20" i="3"/>
  <c r="D22" i="3" l="1"/>
  <c r="E22" i="3" s="1"/>
  <c r="F21" i="3"/>
  <c r="D23" i="3" l="1"/>
  <c r="E23" i="3" s="1"/>
  <c r="F22" i="3"/>
  <c r="D24" i="3" l="1"/>
  <c r="E24" i="3" s="1"/>
  <c r="F23" i="3"/>
  <c r="D25" i="3" l="1"/>
  <c r="E25" i="3" s="1"/>
  <c r="F24" i="3"/>
  <c r="D26" i="3" l="1"/>
  <c r="E26" i="3" s="1"/>
  <c r="F25" i="3"/>
  <c r="D27" i="3" l="1"/>
  <c r="E27" i="3" s="1"/>
  <c r="F26" i="3"/>
  <c r="D28" i="3" l="1"/>
  <c r="E28" i="3" s="1"/>
  <c r="F27" i="3"/>
  <c r="D29" i="3" l="1"/>
  <c r="E29" i="3" s="1"/>
  <c r="F28" i="3"/>
  <c r="D30" i="3" l="1"/>
  <c r="E30" i="3" s="1"/>
  <c r="F29" i="3"/>
  <c r="D31" i="3" l="1"/>
  <c r="E31" i="3" s="1"/>
  <c r="F30" i="3"/>
  <c r="D32" i="3" l="1"/>
  <c r="E32" i="3" s="1"/>
  <c r="F31" i="3"/>
  <c r="D33" i="3" l="1"/>
  <c r="E33" i="3" s="1"/>
  <c r="F32" i="3"/>
  <c r="D34" i="3" l="1"/>
  <c r="E34" i="3" s="1"/>
  <c r="F33" i="3"/>
  <c r="D35" i="3" l="1"/>
  <c r="E35" i="3" s="1"/>
  <c r="F34" i="3"/>
  <c r="D36" i="3" l="1"/>
  <c r="E36" i="3" s="1"/>
  <c r="F35" i="3"/>
  <c r="D37" i="3" l="1"/>
  <c r="E37" i="3" s="1"/>
  <c r="F36" i="3"/>
  <c r="D38" i="3" l="1"/>
  <c r="E38" i="3" s="1"/>
  <c r="F37" i="3"/>
  <c r="D39" i="3" l="1"/>
  <c r="E39" i="3" s="1"/>
  <c r="F38" i="3"/>
  <c r="D40" i="3" l="1"/>
  <c r="E40" i="3" s="1"/>
  <c r="F39" i="3"/>
  <c r="D41" i="3" l="1"/>
  <c r="E41" i="3" s="1"/>
  <c r="F40" i="3"/>
  <c r="D42" i="3" l="1"/>
  <c r="E42" i="3" s="1"/>
  <c r="F41" i="3"/>
  <c r="D43" i="3" l="1"/>
  <c r="E43" i="3" s="1"/>
  <c r="F42" i="3"/>
  <c r="D44" i="3" l="1"/>
  <c r="E44" i="3" s="1"/>
  <c r="F43" i="3"/>
  <c r="D45" i="3" l="1"/>
  <c r="E45" i="3" s="1"/>
  <c r="F44" i="3"/>
  <c r="D46" i="3" l="1"/>
  <c r="E46" i="3" s="1"/>
  <c r="F45" i="3"/>
  <c r="D47" i="3" l="1"/>
  <c r="E47" i="3" s="1"/>
  <c r="F46" i="3"/>
  <c r="D48" i="3" l="1"/>
  <c r="E48" i="3" s="1"/>
  <c r="F47" i="3"/>
  <c r="D49" i="3" l="1"/>
  <c r="E49" i="3" s="1"/>
  <c r="F48" i="3"/>
  <c r="D50" i="3" l="1"/>
  <c r="E50" i="3" s="1"/>
  <c r="F49" i="3"/>
  <c r="D51" i="3" l="1"/>
  <c r="E51" i="3" s="1"/>
  <c r="F50" i="3"/>
  <c r="D52" i="3" l="1"/>
  <c r="E52" i="3" s="1"/>
  <c r="F51" i="3"/>
  <c r="D53" i="3" l="1"/>
  <c r="E53" i="3" s="1"/>
  <c r="F52" i="3"/>
  <c r="D54" i="3" l="1"/>
  <c r="E54" i="3" s="1"/>
  <c r="F53" i="3"/>
  <c r="D55" i="3" l="1"/>
  <c r="E55" i="3" s="1"/>
  <c r="F54" i="3"/>
  <c r="D56" i="3" l="1"/>
  <c r="E56" i="3" s="1"/>
  <c r="F55" i="3"/>
  <c r="D57" i="3" l="1"/>
  <c r="E57" i="3" s="1"/>
  <c r="F56" i="3"/>
  <c r="D58" i="3" l="1"/>
  <c r="E58" i="3" s="1"/>
  <c r="F57" i="3"/>
  <c r="D59" i="3" l="1"/>
  <c r="E59" i="3" s="1"/>
  <c r="F58" i="3"/>
  <c r="D60" i="3" l="1"/>
  <c r="E60" i="3" s="1"/>
  <c r="F59" i="3"/>
  <c r="D61" i="3" l="1"/>
  <c r="E61" i="3" s="1"/>
  <c r="F60" i="3"/>
  <c r="D62" i="3" l="1"/>
  <c r="E62" i="3" s="1"/>
  <c r="F61" i="3"/>
  <c r="D63" i="3" l="1"/>
  <c r="E63" i="3" s="1"/>
  <c r="F62" i="3"/>
  <c r="D64" i="3" l="1"/>
  <c r="E64" i="3" s="1"/>
  <c r="F63" i="3"/>
  <c r="D65" i="3" l="1"/>
  <c r="E65" i="3" s="1"/>
  <c r="F64" i="3"/>
  <c r="D66" i="3" l="1"/>
  <c r="E66" i="3" s="1"/>
  <c r="F65" i="3"/>
  <c r="D67" i="3" l="1"/>
  <c r="E67" i="3" s="1"/>
  <c r="F66" i="3"/>
  <c r="D68" i="3" l="1"/>
  <c r="E68" i="3" s="1"/>
  <c r="F67" i="3"/>
  <c r="D69" i="3" l="1"/>
  <c r="E69" i="3" s="1"/>
  <c r="F68" i="3"/>
  <c r="D70" i="3" l="1"/>
  <c r="E70" i="3" s="1"/>
  <c r="F69" i="3"/>
  <c r="D71" i="3" l="1"/>
  <c r="E71" i="3" s="1"/>
  <c r="F70" i="3"/>
  <c r="D72" i="3" l="1"/>
  <c r="E72" i="3" s="1"/>
  <c r="F71" i="3"/>
  <c r="D73" i="3" l="1"/>
  <c r="E73" i="3" s="1"/>
  <c r="F72" i="3"/>
  <c r="D74" i="3" l="1"/>
  <c r="E74" i="3" s="1"/>
  <c r="F73" i="3"/>
  <c r="D75" i="3" l="1"/>
  <c r="E75" i="3" s="1"/>
  <c r="F74" i="3"/>
  <c r="D76" i="3" l="1"/>
  <c r="E76" i="3" s="1"/>
  <c r="F75" i="3"/>
  <c r="D77" i="3" l="1"/>
  <c r="E77" i="3" s="1"/>
  <c r="F76" i="3"/>
  <c r="D78" i="3" l="1"/>
  <c r="E78" i="3" s="1"/>
  <c r="F77" i="3"/>
  <c r="D79" i="3" l="1"/>
  <c r="E79" i="3" s="1"/>
  <c r="F78" i="3"/>
  <c r="D80" i="3" l="1"/>
  <c r="E80" i="3" s="1"/>
  <c r="F79" i="3"/>
  <c r="D81" i="3" l="1"/>
  <c r="E81" i="3" s="1"/>
  <c r="F80" i="3"/>
  <c r="D82" i="3" l="1"/>
  <c r="E82" i="3" s="1"/>
  <c r="F81" i="3"/>
  <c r="D83" i="3" l="1"/>
  <c r="E83" i="3" s="1"/>
  <c r="F82" i="3"/>
  <c r="D84" i="3" l="1"/>
  <c r="E84" i="3" s="1"/>
  <c r="F83" i="3"/>
  <c r="D85" i="3" l="1"/>
  <c r="E85" i="3" s="1"/>
  <c r="F84" i="3"/>
  <c r="D86" i="3" l="1"/>
  <c r="E86" i="3" s="1"/>
  <c r="F85" i="3"/>
  <c r="D87" i="3" l="1"/>
  <c r="E87" i="3" s="1"/>
  <c r="F86" i="3"/>
  <c r="D88" i="3" l="1"/>
  <c r="E88" i="3" s="1"/>
  <c r="F87" i="3"/>
  <c r="D89" i="3" l="1"/>
  <c r="E89" i="3" s="1"/>
  <c r="F88" i="3"/>
  <c r="D90" i="3" l="1"/>
  <c r="E90" i="3" s="1"/>
  <c r="F89" i="3"/>
  <c r="D91" i="3" l="1"/>
  <c r="E91" i="3" s="1"/>
  <c r="F90" i="3"/>
  <c r="D92" i="3" l="1"/>
  <c r="E92" i="3" s="1"/>
  <c r="F91" i="3"/>
  <c r="D93" i="3" l="1"/>
  <c r="E93" i="3" s="1"/>
  <c r="F92" i="3"/>
  <c r="D94" i="3" l="1"/>
  <c r="E94" i="3" s="1"/>
  <c r="F93" i="3"/>
  <c r="D95" i="3" l="1"/>
  <c r="E95" i="3" s="1"/>
  <c r="F94" i="3"/>
  <c r="D96" i="3" l="1"/>
  <c r="E96" i="3" s="1"/>
  <c r="F95" i="3"/>
  <c r="D97" i="3" l="1"/>
  <c r="E97" i="3" s="1"/>
  <c r="F96" i="3"/>
  <c r="D98" i="3" l="1"/>
  <c r="E98" i="3" s="1"/>
  <c r="F97" i="3"/>
  <c r="D99" i="3" l="1"/>
  <c r="E99" i="3" s="1"/>
  <c r="F98" i="3"/>
  <c r="D100" i="3" l="1"/>
  <c r="E100" i="3" s="1"/>
  <c r="F99" i="3"/>
  <c r="D101" i="3" l="1"/>
  <c r="E101" i="3" s="1"/>
  <c r="F100" i="3"/>
  <c r="D102" i="3" l="1"/>
  <c r="E102" i="3" s="1"/>
  <c r="F101" i="3"/>
  <c r="D103" i="3" l="1"/>
  <c r="E103" i="3" s="1"/>
  <c r="F102" i="3"/>
  <c r="D104" i="3" l="1"/>
  <c r="E104" i="3" s="1"/>
  <c r="F103" i="3"/>
  <c r="D105" i="3" l="1"/>
  <c r="E105" i="3" s="1"/>
  <c r="F104" i="3"/>
  <c r="D106" i="3" l="1"/>
  <c r="E106" i="3" s="1"/>
  <c r="F105" i="3"/>
  <c r="D107" i="3" l="1"/>
  <c r="E107" i="3" s="1"/>
  <c r="F106" i="3"/>
  <c r="D108" i="3" l="1"/>
  <c r="E108" i="3" s="1"/>
  <c r="F107" i="3"/>
  <c r="D109" i="3" l="1"/>
  <c r="E109" i="3" s="1"/>
  <c r="F108" i="3"/>
  <c r="D110" i="3" l="1"/>
  <c r="E110" i="3" s="1"/>
  <c r="F109" i="3"/>
  <c r="D111" i="3" l="1"/>
  <c r="E111" i="3" s="1"/>
  <c r="F110" i="3"/>
  <c r="D112" i="3" l="1"/>
  <c r="E112" i="3" s="1"/>
  <c r="F111" i="3"/>
  <c r="D113" i="3" l="1"/>
  <c r="E113" i="3" s="1"/>
  <c r="F112" i="3"/>
  <c r="D114" i="3" l="1"/>
  <c r="E114" i="3" s="1"/>
  <c r="F113" i="3"/>
  <c r="D115" i="3" l="1"/>
  <c r="E115" i="3" s="1"/>
  <c r="F114" i="3"/>
  <c r="D116" i="3" l="1"/>
  <c r="E116" i="3" s="1"/>
  <c r="F115" i="3"/>
  <c r="D117" i="3" l="1"/>
  <c r="E117" i="3" s="1"/>
  <c r="F116" i="3"/>
  <c r="D118" i="3" l="1"/>
  <c r="E118" i="3" s="1"/>
  <c r="F117" i="3"/>
  <c r="D119" i="3" l="1"/>
  <c r="E119" i="3" s="1"/>
  <c r="F118" i="3"/>
  <c r="D120" i="3" l="1"/>
  <c r="E120" i="3" s="1"/>
  <c r="F119" i="3"/>
  <c r="D121" i="3" l="1"/>
  <c r="E121" i="3" s="1"/>
  <c r="F120" i="3"/>
  <c r="D122" i="3" l="1"/>
  <c r="E122" i="3" s="1"/>
  <c r="F121" i="3"/>
  <c r="D123" i="3" l="1"/>
  <c r="E123" i="3" s="1"/>
  <c r="F122" i="3"/>
  <c r="D124" i="3" l="1"/>
  <c r="E124" i="3" s="1"/>
  <c r="F123" i="3"/>
  <c r="D125" i="3" l="1"/>
  <c r="E125" i="3" s="1"/>
  <c r="F124" i="3"/>
  <c r="D126" i="3" l="1"/>
  <c r="E126" i="3" s="1"/>
  <c r="F125" i="3"/>
  <c r="D127" i="3" l="1"/>
  <c r="E127" i="3" s="1"/>
  <c r="F126" i="3"/>
  <c r="D128" i="3" l="1"/>
  <c r="E128" i="3" s="1"/>
  <c r="F127" i="3"/>
  <c r="D129" i="3" l="1"/>
  <c r="E129" i="3" s="1"/>
  <c r="F128" i="3"/>
  <c r="D130" i="3" l="1"/>
  <c r="E130" i="3" s="1"/>
  <c r="F129" i="3"/>
  <c r="D131" i="3" l="1"/>
  <c r="E131" i="3" s="1"/>
  <c r="F130" i="3"/>
  <c r="D132" i="3" l="1"/>
  <c r="E132" i="3" s="1"/>
  <c r="F131" i="3"/>
  <c r="D133" i="3" l="1"/>
  <c r="E133" i="3" s="1"/>
  <c r="F132" i="3"/>
  <c r="D134" i="3" l="1"/>
  <c r="E134" i="3" s="1"/>
  <c r="F133" i="3"/>
  <c r="D135" i="3" l="1"/>
  <c r="E135" i="3" s="1"/>
  <c r="F134" i="3"/>
  <c r="D136" i="3" l="1"/>
  <c r="E136" i="3" s="1"/>
  <c r="F135" i="3"/>
  <c r="D137" i="3" l="1"/>
  <c r="E137" i="3" s="1"/>
  <c r="F136" i="3"/>
  <c r="D138" i="3" l="1"/>
  <c r="E138" i="3" s="1"/>
  <c r="F137" i="3"/>
  <c r="D139" i="3" l="1"/>
  <c r="E139" i="3" s="1"/>
  <c r="F138" i="3"/>
  <c r="D140" i="3" l="1"/>
  <c r="E140" i="3" s="1"/>
  <c r="F139" i="3"/>
  <c r="D141" i="3" l="1"/>
  <c r="E141" i="3" s="1"/>
  <c r="F140" i="3"/>
  <c r="D142" i="3" l="1"/>
  <c r="E142" i="3" s="1"/>
  <c r="F141" i="3"/>
  <c r="D143" i="3" l="1"/>
  <c r="E143" i="3" s="1"/>
  <c r="F142" i="3"/>
  <c r="D144" i="3" l="1"/>
  <c r="E144" i="3" s="1"/>
  <c r="F143" i="3"/>
  <c r="D145" i="3" l="1"/>
  <c r="E145" i="3" s="1"/>
  <c r="F144" i="3"/>
  <c r="D146" i="3" l="1"/>
  <c r="E146" i="3" s="1"/>
  <c r="F145" i="3"/>
  <c r="D147" i="3" l="1"/>
  <c r="E147" i="3" s="1"/>
  <c r="F146" i="3"/>
  <c r="D148" i="3" l="1"/>
  <c r="E148" i="3" s="1"/>
  <c r="F147" i="3"/>
  <c r="D149" i="3" l="1"/>
  <c r="E149" i="3" s="1"/>
  <c r="F148" i="3"/>
  <c r="D150" i="3" l="1"/>
  <c r="E150" i="3" s="1"/>
  <c r="F149" i="3"/>
  <c r="D151" i="3" l="1"/>
  <c r="E151" i="3" s="1"/>
  <c r="F150" i="3"/>
  <c r="D152" i="3" l="1"/>
  <c r="E152" i="3" s="1"/>
  <c r="F151" i="3"/>
  <c r="D153" i="3" l="1"/>
  <c r="E153" i="3" s="1"/>
  <c r="F152" i="3"/>
  <c r="D154" i="3" l="1"/>
  <c r="E154" i="3" s="1"/>
  <c r="F153" i="3"/>
  <c r="D155" i="3" l="1"/>
  <c r="E155" i="3" s="1"/>
  <c r="F154" i="3"/>
  <c r="D156" i="3" l="1"/>
  <c r="E156" i="3" s="1"/>
  <c r="F155" i="3"/>
  <c r="D157" i="3" l="1"/>
  <c r="E157" i="3" s="1"/>
  <c r="F156" i="3"/>
  <c r="D158" i="3" l="1"/>
  <c r="E158" i="3" s="1"/>
  <c r="F157" i="3"/>
  <c r="D159" i="3" l="1"/>
  <c r="E159" i="3" s="1"/>
  <c r="F158" i="3"/>
  <c r="D160" i="3" l="1"/>
  <c r="E160" i="3" s="1"/>
  <c r="F159" i="3"/>
  <c r="D161" i="3" l="1"/>
  <c r="E161" i="3" s="1"/>
  <c r="F160" i="3"/>
  <c r="D162" i="3" l="1"/>
  <c r="E162" i="3" s="1"/>
  <c r="F161" i="3"/>
  <c r="D163" i="3" l="1"/>
  <c r="E163" i="3" s="1"/>
  <c r="F162" i="3"/>
  <c r="D164" i="3" l="1"/>
  <c r="E164" i="3" s="1"/>
  <c r="F163" i="3"/>
  <c r="D165" i="3" l="1"/>
  <c r="E165" i="3" s="1"/>
  <c r="F164" i="3"/>
  <c r="D166" i="3" l="1"/>
  <c r="E166" i="3" s="1"/>
  <c r="F165" i="3"/>
  <c r="D167" i="3" l="1"/>
  <c r="E167" i="3" s="1"/>
  <c r="F166" i="3"/>
  <c r="D168" i="3" l="1"/>
  <c r="E168" i="3" s="1"/>
  <c r="F167" i="3"/>
  <c r="D169" i="3" l="1"/>
  <c r="E169" i="3" s="1"/>
  <c r="F168" i="3"/>
  <c r="D170" i="3" l="1"/>
  <c r="E170" i="3" s="1"/>
  <c r="F169" i="3"/>
  <c r="D171" i="3" l="1"/>
  <c r="E171" i="3" s="1"/>
  <c r="F170" i="3"/>
  <c r="D172" i="3" l="1"/>
  <c r="E172" i="3" s="1"/>
  <c r="F171" i="3"/>
  <c r="D173" i="3" l="1"/>
  <c r="E173" i="3" s="1"/>
  <c r="F172" i="3"/>
  <c r="D174" i="3" l="1"/>
  <c r="E174" i="3" s="1"/>
  <c r="F173" i="3"/>
  <c r="D175" i="3" l="1"/>
  <c r="E175" i="3" s="1"/>
  <c r="F174" i="3"/>
  <c r="D176" i="3" l="1"/>
  <c r="E176" i="3" s="1"/>
  <c r="F175" i="3"/>
  <c r="D177" i="3" l="1"/>
  <c r="E177" i="3" s="1"/>
  <c r="F176" i="3"/>
  <c r="D178" i="3" l="1"/>
  <c r="E178" i="3" s="1"/>
  <c r="F177" i="3"/>
  <c r="D179" i="3" l="1"/>
  <c r="E179" i="3" s="1"/>
  <c r="F178" i="3"/>
  <c r="D180" i="3" l="1"/>
  <c r="E180" i="3" s="1"/>
  <c r="F179" i="3"/>
  <c r="D181" i="3" l="1"/>
  <c r="E181" i="3" s="1"/>
  <c r="F180" i="3"/>
  <c r="D182" i="3" l="1"/>
  <c r="E182" i="3" s="1"/>
  <c r="F181" i="3"/>
  <c r="D183" i="3" l="1"/>
  <c r="E183" i="3" s="1"/>
  <c r="F182" i="3"/>
  <c r="D184" i="3" l="1"/>
  <c r="E184" i="3" s="1"/>
  <c r="F183" i="3"/>
  <c r="D185" i="3" l="1"/>
  <c r="E185" i="3" s="1"/>
  <c r="F184" i="3"/>
  <c r="D186" i="3" l="1"/>
  <c r="E186" i="3" s="1"/>
  <c r="F185" i="3"/>
  <c r="D187" i="3" l="1"/>
  <c r="E187" i="3" s="1"/>
  <c r="F186" i="3"/>
  <c r="D188" i="3" l="1"/>
  <c r="E188" i="3" s="1"/>
  <c r="F187" i="3"/>
  <c r="D189" i="3" l="1"/>
  <c r="E189" i="3" s="1"/>
  <c r="F188" i="3"/>
  <c r="D190" i="3" l="1"/>
  <c r="E190" i="3" s="1"/>
  <c r="F189" i="3"/>
  <c r="D191" i="3" l="1"/>
  <c r="E191" i="3" s="1"/>
  <c r="F190" i="3"/>
  <c r="D192" i="3" l="1"/>
  <c r="E192" i="3" s="1"/>
  <c r="F191" i="3"/>
  <c r="D193" i="3" l="1"/>
  <c r="E193" i="3" s="1"/>
  <c r="F192" i="3"/>
  <c r="D194" i="3" l="1"/>
  <c r="E194" i="3" s="1"/>
  <c r="F193" i="3"/>
  <c r="D195" i="3" l="1"/>
  <c r="E195" i="3" s="1"/>
  <c r="F194" i="3"/>
  <c r="D196" i="3" l="1"/>
  <c r="E196" i="3" s="1"/>
  <c r="F195" i="3"/>
  <c r="D197" i="3" l="1"/>
  <c r="E197" i="3" s="1"/>
  <c r="F196" i="3"/>
  <c r="D198" i="3" l="1"/>
  <c r="E198" i="3" s="1"/>
  <c r="F197" i="3"/>
  <c r="D199" i="3" l="1"/>
  <c r="E199" i="3" s="1"/>
  <c r="F198" i="3"/>
  <c r="D200" i="3" l="1"/>
  <c r="E200" i="3" s="1"/>
  <c r="F199" i="3"/>
  <c r="D201" i="3" l="1"/>
  <c r="E201" i="3" s="1"/>
  <c r="F200" i="3"/>
  <c r="D202" i="3" l="1"/>
  <c r="E202" i="3" s="1"/>
  <c r="F201" i="3"/>
  <c r="D203" i="3" l="1"/>
  <c r="E203" i="3" s="1"/>
  <c r="F202" i="3"/>
  <c r="D204" i="3" l="1"/>
  <c r="E204" i="3" s="1"/>
  <c r="F203" i="3"/>
  <c r="D205" i="3" l="1"/>
  <c r="E205" i="3" s="1"/>
  <c r="F204" i="3"/>
  <c r="D206" i="3" l="1"/>
  <c r="E206" i="3" s="1"/>
  <c r="F205" i="3"/>
  <c r="D207" i="3" l="1"/>
  <c r="E207" i="3" s="1"/>
  <c r="F206" i="3"/>
  <c r="D208" i="3" l="1"/>
  <c r="E208" i="3" s="1"/>
  <c r="F207" i="3"/>
  <c r="D209" i="3" l="1"/>
  <c r="E209" i="3" s="1"/>
  <c r="F208" i="3"/>
  <c r="D210" i="3" l="1"/>
  <c r="E210" i="3" s="1"/>
  <c r="F209" i="3"/>
  <c r="D211" i="3" l="1"/>
  <c r="E211" i="3" s="1"/>
  <c r="F210" i="3"/>
  <c r="D212" i="3" l="1"/>
  <c r="E212" i="3" s="1"/>
  <c r="F211" i="3"/>
  <c r="D213" i="3" l="1"/>
  <c r="E213" i="3" s="1"/>
  <c r="F212" i="3"/>
  <c r="D214" i="3" l="1"/>
  <c r="E214" i="3" s="1"/>
  <c r="F213" i="3"/>
  <c r="D215" i="3" l="1"/>
  <c r="E215" i="3" s="1"/>
  <c r="F214" i="3"/>
  <c r="D216" i="3" l="1"/>
  <c r="E216" i="3" s="1"/>
  <c r="F215" i="3"/>
  <c r="D217" i="3" l="1"/>
  <c r="E217" i="3" s="1"/>
  <c r="F216" i="3"/>
  <c r="D218" i="3" l="1"/>
  <c r="E218" i="3" s="1"/>
  <c r="F217" i="3"/>
  <c r="D219" i="3" l="1"/>
  <c r="E219" i="3" s="1"/>
  <c r="F218" i="3"/>
  <c r="D220" i="3" l="1"/>
  <c r="E220" i="3" s="1"/>
  <c r="F219" i="3"/>
  <c r="D221" i="3" l="1"/>
  <c r="E221" i="3" s="1"/>
  <c r="F220" i="3"/>
  <c r="D222" i="3" l="1"/>
  <c r="E222" i="3" s="1"/>
  <c r="F221" i="3"/>
  <c r="D223" i="3" l="1"/>
  <c r="E223" i="3" s="1"/>
  <c r="F222" i="3"/>
  <c r="D224" i="3" l="1"/>
  <c r="E224" i="3" s="1"/>
  <c r="F223" i="3"/>
  <c r="D225" i="3" l="1"/>
  <c r="E225" i="3" s="1"/>
  <c r="F224" i="3"/>
  <c r="D226" i="3" l="1"/>
  <c r="E226" i="3" s="1"/>
  <c r="F225" i="3"/>
  <c r="D227" i="3" l="1"/>
  <c r="E227" i="3" s="1"/>
  <c r="F226" i="3"/>
  <c r="D228" i="3" l="1"/>
  <c r="E228" i="3" s="1"/>
  <c r="F227" i="3"/>
  <c r="D229" i="3" l="1"/>
  <c r="E229" i="3" s="1"/>
  <c r="F228" i="3"/>
  <c r="D230" i="3" l="1"/>
  <c r="E230" i="3" s="1"/>
  <c r="F229" i="3"/>
  <c r="D231" i="3" l="1"/>
  <c r="E231" i="3" s="1"/>
  <c r="F230" i="3"/>
  <c r="D232" i="3" l="1"/>
  <c r="E232" i="3" s="1"/>
  <c r="F231" i="3"/>
  <c r="D233" i="3" l="1"/>
  <c r="E233" i="3" s="1"/>
  <c r="F232" i="3"/>
  <c r="D234" i="3" l="1"/>
  <c r="E234" i="3" s="1"/>
  <c r="F233" i="3"/>
  <c r="D235" i="3" l="1"/>
  <c r="E235" i="3" s="1"/>
  <c r="F234" i="3"/>
  <c r="D236" i="3" l="1"/>
  <c r="E236" i="3" s="1"/>
  <c r="F235" i="3"/>
  <c r="D237" i="3" l="1"/>
  <c r="E237" i="3" s="1"/>
  <c r="F236" i="3"/>
  <c r="D238" i="3" l="1"/>
  <c r="E238" i="3" s="1"/>
  <c r="F237" i="3"/>
  <c r="D239" i="3" l="1"/>
  <c r="E239" i="3" s="1"/>
  <c r="F238" i="3"/>
  <c r="D240" i="3" l="1"/>
  <c r="E240" i="3" s="1"/>
  <c r="F239" i="3"/>
  <c r="D241" i="3" l="1"/>
  <c r="E241" i="3" s="1"/>
  <c r="F240" i="3"/>
  <c r="D242" i="3" l="1"/>
  <c r="E242" i="3" s="1"/>
  <c r="F241" i="3"/>
  <c r="D243" i="3" l="1"/>
  <c r="E243" i="3" s="1"/>
  <c r="F242" i="3"/>
  <c r="D244" i="3" l="1"/>
  <c r="E244" i="3" s="1"/>
  <c r="F243" i="3"/>
  <c r="D245" i="3" l="1"/>
  <c r="E245" i="3" s="1"/>
  <c r="F244" i="3"/>
  <c r="D246" i="3" l="1"/>
  <c r="E246" i="3" s="1"/>
  <c r="F245" i="3"/>
  <c r="D247" i="3" l="1"/>
  <c r="E247" i="3" s="1"/>
  <c r="F246" i="3"/>
  <c r="D248" i="3" l="1"/>
  <c r="E248" i="3" s="1"/>
  <c r="F247" i="3"/>
  <c r="D249" i="3" l="1"/>
  <c r="E249" i="3" s="1"/>
  <c r="F248" i="3"/>
  <c r="D250" i="3" l="1"/>
  <c r="E250" i="3" s="1"/>
  <c r="F249" i="3"/>
  <c r="D251" i="3" l="1"/>
  <c r="E251" i="3" s="1"/>
  <c r="F250" i="3"/>
  <c r="D252" i="3" l="1"/>
  <c r="E252" i="3" s="1"/>
  <c r="F251" i="3"/>
  <c r="D253" i="3" l="1"/>
  <c r="E253" i="3" s="1"/>
  <c r="F252" i="3"/>
  <c r="D254" i="3" l="1"/>
  <c r="E254" i="3" s="1"/>
  <c r="F253" i="3"/>
  <c r="D255" i="3" l="1"/>
  <c r="E255" i="3" s="1"/>
  <c r="F254" i="3"/>
  <c r="D256" i="3" l="1"/>
  <c r="E256" i="3" s="1"/>
  <c r="F255" i="3"/>
  <c r="D257" i="3" l="1"/>
  <c r="E257" i="3" s="1"/>
  <c r="F256" i="3"/>
  <c r="D258" i="3" l="1"/>
  <c r="E258" i="3" s="1"/>
  <c r="F257" i="3"/>
  <c r="D259" i="3" l="1"/>
  <c r="E259" i="3" s="1"/>
  <c r="F258" i="3"/>
  <c r="D260" i="3" l="1"/>
  <c r="E260" i="3" s="1"/>
  <c r="F259" i="3"/>
  <c r="D261" i="3" l="1"/>
  <c r="E261" i="3" s="1"/>
  <c r="F260" i="3"/>
  <c r="D262" i="3" l="1"/>
  <c r="E262" i="3" s="1"/>
  <c r="F261" i="3"/>
  <c r="D263" i="3" l="1"/>
  <c r="E263" i="3" s="1"/>
  <c r="F262" i="3"/>
  <c r="D264" i="3" l="1"/>
  <c r="E264" i="3" s="1"/>
  <c r="F263" i="3"/>
  <c r="D265" i="3" l="1"/>
  <c r="E265" i="3" s="1"/>
  <c r="F264" i="3"/>
  <c r="D266" i="3" l="1"/>
  <c r="E266" i="3" s="1"/>
  <c r="F265" i="3"/>
  <c r="D267" i="3" l="1"/>
  <c r="E267" i="3" s="1"/>
  <c r="F266" i="3"/>
  <c r="D268" i="3" l="1"/>
  <c r="E268" i="3" s="1"/>
  <c r="F267" i="3"/>
  <c r="D269" i="3" l="1"/>
  <c r="E269" i="3" s="1"/>
  <c r="F268" i="3"/>
  <c r="D270" i="3" l="1"/>
  <c r="E270" i="3" s="1"/>
  <c r="F269" i="3"/>
  <c r="D271" i="3" l="1"/>
  <c r="E271" i="3" s="1"/>
  <c r="F270" i="3"/>
  <c r="D272" i="3" l="1"/>
  <c r="E272" i="3" s="1"/>
  <c r="F271" i="3"/>
  <c r="D273" i="3" l="1"/>
  <c r="E273" i="3" s="1"/>
  <c r="F272" i="3"/>
  <c r="D274" i="3" l="1"/>
  <c r="E274" i="3" s="1"/>
  <c r="F273" i="3"/>
  <c r="D275" i="3" l="1"/>
  <c r="E275" i="3" s="1"/>
  <c r="F274" i="3"/>
  <c r="D276" i="3" l="1"/>
  <c r="E276" i="3" s="1"/>
  <c r="F275" i="3"/>
  <c r="D277" i="3" l="1"/>
  <c r="E277" i="3" s="1"/>
  <c r="F276" i="3"/>
  <c r="D278" i="3" l="1"/>
  <c r="E278" i="3" s="1"/>
  <c r="F277" i="3"/>
  <c r="D279" i="3" l="1"/>
  <c r="E279" i="3" s="1"/>
  <c r="F278" i="3"/>
  <c r="D280" i="3" l="1"/>
  <c r="E280" i="3" s="1"/>
  <c r="F279" i="3"/>
  <c r="D281" i="3" l="1"/>
  <c r="E281" i="3" s="1"/>
  <c r="F280" i="3"/>
  <c r="D282" i="3" l="1"/>
  <c r="E282" i="3" s="1"/>
  <c r="F281" i="3"/>
  <c r="D283" i="3" l="1"/>
  <c r="E283" i="3" s="1"/>
  <c r="F282" i="3"/>
  <c r="D284" i="3" l="1"/>
  <c r="E284" i="3" s="1"/>
  <c r="F283" i="3"/>
  <c r="D285" i="3" l="1"/>
  <c r="E285" i="3" s="1"/>
  <c r="F284" i="3"/>
  <c r="D286" i="3" l="1"/>
  <c r="E286" i="3" s="1"/>
  <c r="F285" i="3"/>
  <c r="D287" i="3" l="1"/>
  <c r="E287" i="3" s="1"/>
  <c r="F286" i="3"/>
  <c r="D288" i="3" l="1"/>
  <c r="E288" i="3" s="1"/>
  <c r="F287" i="3"/>
  <c r="D289" i="3" l="1"/>
  <c r="E289" i="3" s="1"/>
  <c r="F288" i="3"/>
  <c r="D290" i="3" l="1"/>
  <c r="E290" i="3" s="1"/>
  <c r="F289" i="3"/>
  <c r="D291" i="3" l="1"/>
  <c r="E291" i="3" s="1"/>
  <c r="F290" i="3"/>
  <c r="D292" i="3" l="1"/>
  <c r="E292" i="3" s="1"/>
  <c r="F291" i="3"/>
  <c r="D293" i="3" l="1"/>
  <c r="E293" i="3" s="1"/>
  <c r="F292" i="3"/>
  <c r="D294" i="3" l="1"/>
  <c r="E294" i="3" s="1"/>
  <c r="F293" i="3"/>
  <c r="D295" i="3" l="1"/>
  <c r="E295" i="3" s="1"/>
  <c r="F294" i="3"/>
  <c r="D296" i="3" l="1"/>
  <c r="E296" i="3" s="1"/>
  <c r="F295" i="3"/>
  <c r="D297" i="3" l="1"/>
  <c r="E297" i="3" s="1"/>
  <c r="F296" i="3"/>
  <c r="D298" i="3" l="1"/>
  <c r="E298" i="3" s="1"/>
  <c r="F297" i="3"/>
  <c r="D299" i="3" l="1"/>
  <c r="E299" i="3" s="1"/>
  <c r="F298" i="3"/>
  <c r="D300" i="3" l="1"/>
  <c r="E300" i="3" s="1"/>
  <c r="F299" i="3"/>
  <c r="D301" i="3" l="1"/>
  <c r="E301" i="3" s="1"/>
  <c r="F300" i="3"/>
  <c r="D302" i="3" l="1"/>
  <c r="E302" i="3" s="1"/>
  <c r="F301" i="3"/>
  <c r="D303" i="3" l="1"/>
  <c r="E303" i="3" s="1"/>
  <c r="F302" i="3"/>
  <c r="D304" i="3" l="1"/>
  <c r="E304" i="3" s="1"/>
  <c r="F303" i="3"/>
  <c r="D305" i="3" l="1"/>
  <c r="E305" i="3" s="1"/>
  <c r="F304" i="3"/>
  <c r="D306" i="3" l="1"/>
  <c r="E306" i="3" s="1"/>
  <c r="F305" i="3"/>
  <c r="D307" i="3" l="1"/>
  <c r="E307" i="3" s="1"/>
  <c r="F306" i="3"/>
  <c r="D308" i="3" l="1"/>
  <c r="E308" i="3" s="1"/>
  <c r="F307" i="3"/>
  <c r="D309" i="3" l="1"/>
  <c r="E309" i="3" s="1"/>
  <c r="F308" i="3"/>
  <c r="D310" i="3" l="1"/>
  <c r="E310" i="3" s="1"/>
  <c r="F309" i="3"/>
  <c r="D311" i="3" l="1"/>
  <c r="E311" i="3" s="1"/>
  <c r="F310" i="3"/>
  <c r="D312" i="3" l="1"/>
  <c r="E312" i="3" s="1"/>
  <c r="F311" i="3"/>
  <c r="D313" i="3" l="1"/>
  <c r="E313" i="3" s="1"/>
  <c r="F312" i="3"/>
  <c r="D314" i="3" l="1"/>
  <c r="E314" i="3" s="1"/>
  <c r="F313" i="3"/>
  <c r="D315" i="3" l="1"/>
  <c r="E315" i="3" s="1"/>
  <c r="F314" i="3"/>
  <c r="D316" i="3" l="1"/>
  <c r="E316" i="3" s="1"/>
  <c r="F315" i="3"/>
  <c r="D317" i="3" l="1"/>
  <c r="E317" i="3" s="1"/>
  <c r="F316" i="3"/>
  <c r="D318" i="3" l="1"/>
  <c r="E318" i="3" s="1"/>
  <c r="F317" i="3"/>
  <c r="D319" i="3" l="1"/>
  <c r="E319" i="3" s="1"/>
  <c r="F318" i="3"/>
  <c r="D320" i="3" l="1"/>
  <c r="E320" i="3" s="1"/>
  <c r="F319" i="3"/>
  <c r="D321" i="3" l="1"/>
  <c r="E321" i="3" s="1"/>
  <c r="F320" i="3"/>
  <c r="D322" i="3" l="1"/>
  <c r="E322" i="3" s="1"/>
  <c r="F321" i="3"/>
  <c r="D323" i="3" l="1"/>
  <c r="E323" i="3" s="1"/>
  <c r="F322" i="3"/>
  <c r="D324" i="3" l="1"/>
  <c r="E324" i="3" s="1"/>
  <c r="F323" i="3"/>
  <c r="D325" i="3" l="1"/>
  <c r="E325" i="3" s="1"/>
  <c r="F324" i="3"/>
  <c r="D326" i="3" l="1"/>
  <c r="E326" i="3" s="1"/>
  <c r="F325" i="3"/>
  <c r="D327" i="3" l="1"/>
  <c r="E327" i="3" s="1"/>
  <c r="F326" i="3"/>
  <c r="D328" i="3" l="1"/>
  <c r="E328" i="3" s="1"/>
  <c r="F327" i="3"/>
  <c r="D329" i="3" l="1"/>
  <c r="E329" i="3" s="1"/>
  <c r="F328" i="3"/>
  <c r="D330" i="3" l="1"/>
  <c r="E330" i="3" s="1"/>
  <c r="F329" i="3"/>
  <c r="D331" i="3" l="1"/>
  <c r="E331" i="3" s="1"/>
  <c r="F330" i="3"/>
  <c r="D332" i="3" l="1"/>
  <c r="E332" i="3" s="1"/>
  <c r="F331" i="3"/>
  <c r="D333" i="3" l="1"/>
  <c r="E333" i="3" s="1"/>
  <c r="F332" i="3"/>
  <c r="D334" i="3" l="1"/>
  <c r="E334" i="3" s="1"/>
  <c r="F333" i="3"/>
  <c r="D335" i="3" l="1"/>
  <c r="E335" i="3" s="1"/>
  <c r="F334" i="3"/>
  <c r="D336" i="3" l="1"/>
  <c r="E336" i="3" s="1"/>
  <c r="F335" i="3"/>
  <c r="D337" i="3" l="1"/>
  <c r="E337" i="3" s="1"/>
  <c r="F336" i="3"/>
  <c r="D338" i="3" l="1"/>
  <c r="E338" i="3" s="1"/>
  <c r="F337" i="3"/>
  <c r="D339" i="3" l="1"/>
  <c r="E339" i="3" s="1"/>
  <c r="F338" i="3"/>
  <c r="D340" i="3" l="1"/>
  <c r="E340" i="3" s="1"/>
  <c r="F339" i="3"/>
  <c r="D341" i="3" l="1"/>
  <c r="E341" i="3" s="1"/>
  <c r="F340" i="3"/>
  <c r="D342" i="3" l="1"/>
  <c r="E342" i="3" s="1"/>
  <c r="F341" i="3"/>
  <c r="D343" i="3" l="1"/>
  <c r="E343" i="3" s="1"/>
  <c r="F342" i="3"/>
  <c r="D344" i="3" l="1"/>
  <c r="E344" i="3" s="1"/>
  <c r="F343" i="3"/>
  <c r="D345" i="3" l="1"/>
  <c r="E345" i="3" s="1"/>
  <c r="F344" i="3"/>
  <c r="D346" i="3" l="1"/>
  <c r="E346" i="3" s="1"/>
  <c r="F345" i="3"/>
  <c r="D347" i="3" l="1"/>
  <c r="E347" i="3" s="1"/>
  <c r="F346" i="3"/>
  <c r="D348" i="3" l="1"/>
  <c r="E348" i="3" s="1"/>
  <c r="F347" i="3"/>
  <c r="D349" i="3" l="1"/>
  <c r="E349" i="3" s="1"/>
  <c r="F348" i="3"/>
  <c r="D350" i="3" l="1"/>
  <c r="E350" i="3" s="1"/>
  <c r="F349" i="3"/>
  <c r="D351" i="3" l="1"/>
  <c r="E351" i="3" s="1"/>
  <c r="F350" i="3"/>
  <c r="D352" i="3" l="1"/>
  <c r="E352" i="3" s="1"/>
  <c r="F351" i="3"/>
  <c r="D353" i="3" l="1"/>
  <c r="E353" i="3" s="1"/>
  <c r="F352" i="3"/>
  <c r="D354" i="3" l="1"/>
  <c r="E354" i="3" s="1"/>
  <c r="F353" i="3"/>
  <c r="D355" i="3" l="1"/>
  <c r="E355" i="3" s="1"/>
  <c r="F354" i="3"/>
  <c r="D356" i="3" l="1"/>
  <c r="E356" i="3" s="1"/>
  <c r="F355" i="3"/>
  <c r="D357" i="3" l="1"/>
  <c r="E357" i="3" s="1"/>
  <c r="F356" i="3"/>
  <c r="D358" i="3" l="1"/>
  <c r="E358" i="3" s="1"/>
  <c r="F357" i="3"/>
  <c r="D359" i="3" l="1"/>
  <c r="E359" i="3" s="1"/>
  <c r="F358" i="3"/>
  <c r="D360" i="3" l="1"/>
  <c r="E360" i="3" s="1"/>
  <c r="F359" i="3"/>
  <c r="D361" i="3" l="1"/>
  <c r="E361" i="3" s="1"/>
  <c r="F360" i="3"/>
  <c r="D362" i="3" l="1"/>
  <c r="E362" i="3" s="1"/>
  <c r="F361" i="3"/>
  <c r="D363" i="3" l="1"/>
  <c r="E363" i="3" s="1"/>
  <c r="F362" i="3"/>
  <c r="D364" i="3" l="1"/>
  <c r="E364" i="3" s="1"/>
  <c r="F363" i="3"/>
  <c r="D365" i="3" l="1"/>
  <c r="E365" i="3" s="1"/>
  <c r="F364" i="3"/>
  <c r="D366" i="3" l="1"/>
  <c r="E366" i="3" s="1"/>
  <c r="F365" i="3"/>
  <c r="D367" i="3" l="1"/>
  <c r="E367" i="3" s="1"/>
  <c r="F366" i="3"/>
  <c r="D368" i="3" l="1"/>
  <c r="E368" i="3" s="1"/>
  <c r="F367" i="3"/>
  <c r="D369" i="3" l="1"/>
  <c r="E369" i="3" s="1"/>
  <c r="F368" i="3"/>
  <c r="D370" i="3" l="1"/>
  <c r="E370" i="3" s="1"/>
  <c r="F369" i="3"/>
  <c r="D371" i="3" l="1"/>
  <c r="E371" i="3" s="1"/>
  <c r="F370" i="3"/>
  <c r="D372" i="3" l="1"/>
  <c r="E372" i="3" s="1"/>
  <c r="F371" i="3"/>
  <c r="D373" i="3" l="1"/>
  <c r="E373" i="3" s="1"/>
  <c r="F372" i="3"/>
  <c r="D374" i="3" l="1"/>
  <c r="E374" i="3" s="1"/>
  <c r="F373" i="3"/>
  <c r="D375" i="3" l="1"/>
  <c r="E375" i="3" s="1"/>
  <c r="F374" i="3"/>
  <c r="D376" i="3" l="1"/>
  <c r="E376" i="3" s="1"/>
  <c r="F375" i="3"/>
  <c r="D377" i="3" l="1"/>
  <c r="E377" i="3" s="1"/>
  <c r="F376" i="3"/>
  <c r="D378" i="3" l="1"/>
  <c r="E378" i="3" s="1"/>
  <c r="F377" i="3"/>
  <c r="D379" i="3" l="1"/>
  <c r="E379" i="3" s="1"/>
  <c r="F378" i="3"/>
  <c r="D380" i="3" l="1"/>
  <c r="E380" i="3" s="1"/>
  <c r="F379" i="3"/>
  <c r="D381" i="3" l="1"/>
  <c r="E381" i="3" s="1"/>
  <c r="F380" i="3"/>
  <c r="D382" i="3" l="1"/>
  <c r="E382" i="3" s="1"/>
  <c r="F381" i="3"/>
  <c r="D383" i="3" l="1"/>
  <c r="E383" i="3" s="1"/>
  <c r="F382" i="3"/>
  <c r="D384" i="3" l="1"/>
  <c r="E384" i="3" s="1"/>
  <c r="F383" i="3"/>
  <c r="D385" i="3" l="1"/>
  <c r="E385" i="3" s="1"/>
  <c r="F384" i="3"/>
  <c r="D386" i="3" l="1"/>
  <c r="E386" i="3" s="1"/>
  <c r="F385" i="3"/>
  <c r="D387" i="3" l="1"/>
  <c r="E387" i="3" s="1"/>
  <c r="F386" i="3"/>
  <c r="D388" i="3" l="1"/>
  <c r="E388" i="3" s="1"/>
  <c r="F387" i="3"/>
  <c r="D389" i="3" l="1"/>
  <c r="E389" i="3" s="1"/>
  <c r="F388" i="3"/>
  <c r="D390" i="3" l="1"/>
  <c r="E390" i="3" s="1"/>
  <c r="F389" i="3"/>
  <c r="D391" i="3" l="1"/>
  <c r="E391" i="3" s="1"/>
  <c r="F390" i="3"/>
  <c r="D392" i="3" l="1"/>
  <c r="E392" i="3" s="1"/>
  <c r="F391" i="3"/>
  <c r="D393" i="3" l="1"/>
  <c r="E393" i="3" s="1"/>
  <c r="F392" i="3"/>
  <c r="D394" i="3" l="1"/>
  <c r="E394" i="3" s="1"/>
  <c r="F393" i="3"/>
  <c r="D395" i="3" l="1"/>
  <c r="E395" i="3" s="1"/>
  <c r="F394" i="3"/>
  <c r="D396" i="3" l="1"/>
  <c r="E396" i="3" s="1"/>
  <c r="F395" i="3"/>
  <c r="D397" i="3" l="1"/>
  <c r="E397" i="3" s="1"/>
  <c r="F396" i="3"/>
  <c r="D398" i="3" l="1"/>
  <c r="E398" i="3" s="1"/>
  <c r="F397" i="3"/>
  <c r="D399" i="3" l="1"/>
  <c r="E399" i="3" s="1"/>
  <c r="F398" i="3"/>
  <c r="D400" i="3" l="1"/>
  <c r="E400" i="3" s="1"/>
  <c r="F399" i="3"/>
  <c r="D401" i="3" l="1"/>
  <c r="E401" i="3" s="1"/>
  <c r="F400" i="3"/>
  <c r="D402" i="3" l="1"/>
  <c r="E402" i="3" s="1"/>
  <c r="F401" i="3"/>
  <c r="D403" i="3" l="1"/>
  <c r="E403" i="3" s="1"/>
  <c r="F402" i="3"/>
  <c r="D404" i="3" l="1"/>
  <c r="E404" i="3" s="1"/>
  <c r="F403" i="3"/>
  <c r="D405" i="3" l="1"/>
  <c r="E405" i="3" s="1"/>
  <c r="F404" i="3"/>
  <c r="D406" i="3" l="1"/>
  <c r="E406" i="3" s="1"/>
  <c r="F405" i="3"/>
  <c r="D407" i="3" l="1"/>
  <c r="E407" i="3" s="1"/>
  <c r="F406" i="3"/>
  <c r="D408" i="3" l="1"/>
  <c r="E408" i="3" s="1"/>
  <c r="F407" i="3"/>
  <c r="D409" i="3" l="1"/>
  <c r="E409" i="3" s="1"/>
  <c r="F408" i="3"/>
  <c r="D410" i="3" l="1"/>
  <c r="E410" i="3" s="1"/>
  <c r="F409" i="3"/>
  <c r="D411" i="3" l="1"/>
  <c r="E411" i="3" s="1"/>
  <c r="F410" i="3"/>
  <c r="D412" i="3" l="1"/>
  <c r="E412" i="3" s="1"/>
  <c r="F411" i="3"/>
  <c r="D413" i="3" l="1"/>
  <c r="E413" i="3" s="1"/>
  <c r="F412" i="3"/>
  <c r="D414" i="3" l="1"/>
  <c r="E414" i="3" s="1"/>
  <c r="F413" i="3"/>
  <c r="D415" i="3" l="1"/>
  <c r="E415" i="3" s="1"/>
  <c r="F414" i="3"/>
  <c r="D416" i="3" l="1"/>
  <c r="E416" i="3" s="1"/>
  <c r="F415" i="3"/>
  <c r="D417" i="3" l="1"/>
  <c r="E417" i="3" s="1"/>
  <c r="F416" i="3"/>
  <c r="D418" i="3" l="1"/>
  <c r="E418" i="3" s="1"/>
  <c r="F417" i="3"/>
  <c r="D419" i="3" l="1"/>
  <c r="E419" i="3" s="1"/>
  <c r="F418" i="3"/>
  <c r="D420" i="3" l="1"/>
  <c r="E420" i="3" s="1"/>
  <c r="F419" i="3"/>
  <c r="D421" i="3" l="1"/>
  <c r="E421" i="3" s="1"/>
  <c r="F420" i="3"/>
  <c r="D422" i="3" l="1"/>
  <c r="E422" i="3" s="1"/>
  <c r="F421" i="3"/>
  <c r="D423" i="3" l="1"/>
  <c r="E423" i="3" s="1"/>
  <c r="F422" i="3"/>
  <c r="D424" i="3" l="1"/>
  <c r="E424" i="3" s="1"/>
  <c r="F423" i="3"/>
  <c r="D425" i="3" l="1"/>
  <c r="E425" i="3" s="1"/>
  <c r="F424" i="3"/>
  <c r="D426" i="3" l="1"/>
  <c r="E426" i="3" s="1"/>
  <c r="F425" i="3"/>
  <c r="D427" i="3" l="1"/>
  <c r="E427" i="3" s="1"/>
  <c r="F426" i="3"/>
  <c r="D428" i="3" l="1"/>
  <c r="E428" i="3" s="1"/>
  <c r="F427" i="3"/>
  <c r="D429" i="3" l="1"/>
  <c r="E429" i="3" s="1"/>
  <c r="F428" i="3"/>
  <c r="D430" i="3" l="1"/>
  <c r="E430" i="3" s="1"/>
  <c r="F429" i="3"/>
  <c r="D431" i="3" l="1"/>
  <c r="E431" i="3" s="1"/>
  <c r="F430" i="3"/>
  <c r="D432" i="3" l="1"/>
  <c r="E432" i="3" s="1"/>
  <c r="F431" i="3"/>
  <c r="D433" i="3" l="1"/>
  <c r="E433" i="3" s="1"/>
  <c r="F432" i="3"/>
  <c r="D434" i="3" l="1"/>
  <c r="E434" i="3" s="1"/>
  <c r="F433" i="3"/>
  <c r="D435" i="3" l="1"/>
  <c r="E435" i="3" s="1"/>
  <c r="F434" i="3"/>
  <c r="D436" i="3" l="1"/>
  <c r="E436" i="3" s="1"/>
  <c r="F435" i="3"/>
  <c r="D437" i="3" l="1"/>
  <c r="E437" i="3" s="1"/>
  <c r="F436" i="3"/>
  <c r="D438" i="3" l="1"/>
  <c r="E438" i="3" s="1"/>
  <c r="F437" i="3"/>
  <c r="D439" i="3" l="1"/>
  <c r="E439" i="3" s="1"/>
  <c r="F438" i="3"/>
  <c r="D440" i="3" l="1"/>
  <c r="E440" i="3" s="1"/>
  <c r="F439" i="3"/>
  <c r="D441" i="3" l="1"/>
  <c r="E441" i="3" s="1"/>
  <c r="F440" i="3"/>
  <c r="D442" i="3" l="1"/>
  <c r="E442" i="3" s="1"/>
  <c r="F441" i="3"/>
  <c r="D443" i="3" l="1"/>
  <c r="E443" i="3" s="1"/>
  <c r="F442" i="3"/>
  <c r="D444" i="3" l="1"/>
  <c r="E444" i="3" s="1"/>
  <c r="F443" i="3"/>
  <c r="D445" i="3" l="1"/>
  <c r="E445" i="3" s="1"/>
  <c r="F444" i="3"/>
  <c r="D446" i="3" l="1"/>
  <c r="E446" i="3" s="1"/>
  <c r="F445" i="3"/>
  <c r="D447" i="3" l="1"/>
  <c r="E447" i="3" s="1"/>
  <c r="F446" i="3"/>
  <c r="D448" i="3" l="1"/>
  <c r="E448" i="3" s="1"/>
  <c r="F447" i="3"/>
  <c r="D449" i="3" l="1"/>
  <c r="E449" i="3" s="1"/>
  <c r="F448" i="3"/>
  <c r="D450" i="3" l="1"/>
  <c r="E450" i="3" s="1"/>
  <c r="F449" i="3"/>
  <c r="D451" i="3" l="1"/>
  <c r="E451" i="3" s="1"/>
  <c r="F450" i="3"/>
  <c r="D452" i="3" l="1"/>
  <c r="E452" i="3" s="1"/>
  <c r="F451" i="3"/>
  <c r="D453" i="3" l="1"/>
  <c r="E453" i="3" s="1"/>
  <c r="F452" i="3"/>
  <c r="D454" i="3" l="1"/>
  <c r="E454" i="3" s="1"/>
  <c r="F453" i="3"/>
  <c r="D455" i="3" l="1"/>
  <c r="E455" i="3" s="1"/>
  <c r="F454" i="3"/>
  <c r="D456" i="3" l="1"/>
  <c r="E456" i="3" s="1"/>
  <c r="F455" i="3"/>
  <c r="D457" i="3" l="1"/>
  <c r="E457" i="3" s="1"/>
  <c r="F456" i="3"/>
  <c r="D458" i="3" l="1"/>
  <c r="E458" i="3" s="1"/>
  <c r="F457" i="3"/>
  <c r="D459" i="3" l="1"/>
  <c r="E459" i="3" s="1"/>
  <c r="F458" i="3"/>
  <c r="D460" i="3" l="1"/>
  <c r="E460" i="3" s="1"/>
  <c r="F459" i="3"/>
  <c r="D461" i="3" l="1"/>
  <c r="E461" i="3" s="1"/>
  <c r="F460" i="3"/>
  <c r="D462" i="3" l="1"/>
  <c r="E462" i="3" s="1"/>
  <c r="F461" i="3"/>
  <c r="D463" i="3" l="1"/>
  <c r="E463" i="3" s="1"/>
  <c r="F462" i="3"/>
  <c r="D464" i="3" l="1"/>
  <c r="E464" i="3" s="1"/>
  <c r="F463" i="3"/>
  <c r="D465" i="3" l="1"/>
  <c r="E465" i="3" s="1"/>
  <c r="F464" i="3"/>
  <c r="D466" i="3" l="1"/>
  <c r="E466" i="3" s="1"/>
  <c r="F465" i="3"/>
  <c r="D467" i="3" l="1"/>
  <c r="E467" i="3" s="1"/>
  <c r="F466" i="3"/>
  <c r="D468" i="3" l="1"/>
  <c r="E468" i="3" s="1"/>
  <c r="F467" i="3"/>
  <c r="D469" i="3" l="1"/>
  <c r="E469" i="3" s="1"/>
  <c r="F468" i="3"/>
  <c r="D470" i="3" l="1"/>
  <c r="E470" i="3" s="1"/>
  <c r="F469" i="3"/>
  <c r="D471" i="3" l="1"/>
  <c r="E471" i="3" s="1"/>
  <c r="F470" i="3"/>
  <c r="D472" i="3" l="1"/>
  <c r="E472" i="3" s="1"/>
  <c r="F471" i="3"/>
  <c r="D473" i="3" l="1"/>
  <c r="E473" i="3" s="1"/>
  <c r="F472" i="3"/>
  <c r="D474" i="3" l="1"/>
  <c r="E474" i="3" s="1"/>
  <c r="F473" i="3"/>
  <c r="D475" i="3" l="1"/>
  <c r="E475" i="3" s="1"/>
  <c r="F474" i="3"/>
  <c r="D476" i="3" l="1"/>
  <c r="E476" i="3" s="1"/>
  <c r="F475" i="3"/>
  <c r="D477" i="3" l="1"/>
  <c r="E477" i="3" s="1"/>
  <c r="F476" i="3"/>
  <c r="D478" i="3" l="1"/>
  <c r="E478" i="3" s="1"/>
  <c r="F477" i="3"/>
  <c r="D479" i="3" l="1"/>
  <c r="E479" i="3" s="1"/>
  <c r="F478" i="3"/>
  <c r="D480" i="3" l="1"/>
  <c r="E480" i="3" s="1"/>
  <c r="F479" i="3"/>
  <c r="D481" i="3" l="1"/>
  <c r="E481" i="3" s="1"/>
  <c r="F480" i="3"/>
  <c r="D482" i="3" l="1"/>
  <c r="E482" i="3" s="1"/>
  <c r="F481" i="3"/>
  <c r="D483" i="3" l="1"/>
  <c r="E483" i="3" s="1"/>
  <c r="F482" i="3"/>
  <c r="D484" i="3" l="1"/>
  <c r="E484" i="3" s="1"/>
  <c r="F483" i="3"/>
  <c r="D485" i="3" l="1"/>
  <c r="E485" i="3" s="1"/>
  <c r="F484" i="3"/>
  <c r="D486" i="3" l="1"/>
  <c r="E486" i="3" s="1"/>
  <c r="F485" i="3"/>
  <c r="D487" i="3" l="1"/>
  <c r="E487" i="3" s="1"/>
  <c r="F486" i="3"/>
  <c r="D488" i="3" l="1"/>
  <c r="E488" i="3" s="1"/>
  <c r="F487" i="3"/>
  <c r="D489" i="3" l="1"/>
  <c r="E489" i="3" s="1"/>
  <c r="F488" i="3"/>
  <c r="D490" i="3" l="1"/>
  <c r="E490" i="3" s="1"/>
  <c r="F489" i="3"/>
  <c r="D491" i="3" l="1"/>
  <c r="E491" i="3" s="1"/>
  <c r="F490" i="3"/>
  <c r="D492" i="3" l="1"/>
  <c r="E492" i="3" s="1"/>
  <c r="F491" i="3"/>
  <c r="D493" i="3" l="1"/>
  <c r="E493" i="3" s="1"/>
  <c r="F492" i="3"/>
  <c r="D494" i="3" l="1"/>
  <c r="E494" i="3" s="1"/>
  <c r="F493" i="3"/>
  <c r="D495" i="3" l="1"/>
  <c r="E495" i="3" s="1"/>
  <c r="F494" i="3"/>
  <c r="D496" i="3" l="1"/>
  <c r="E496" i="3" s="1"/>
  <c r="F495" i="3"/>
  <c r="D497" i="3" l="1"/>
  <c r="E497" i="3" s="1"/>
  <c r="F496" i="3"/>
  <c r="D498" i="3" l="1"/>
  <c r="E498" i="3" s="1"/>
  <c r="F497" i="3"/>
  <c r="D499" i="3" l="1"/>
  <c r="E499" i="3" s="1"/>
  <c r="F498" i="3"/>
  <c r="D500" i="3" l="1"/>
  <c r="E500" i="3" s="1"/>
  <c r="F499" i="3"/>
  <c r="D501" i="3" l="1"/>
  <c r="E501" i="3" s="1"/>
  <c r="F500" i="3"/>
  <c r="D502" i="3" l="1"/>
  <c r="E502" i="3" s="1"/>
  <c r="F501" i="3"/>
  <c r="D503" i="3" l="1"/>
  <c r="E503" i="3" s="1"/>
  <c r="F502" i="3"/>
  <c r="D504" i="3" l="1"/>
  <c r="E504" i="3" s="1"/>
  <c r="F503" i="3"/>
  <c r="D505" i="3" l="1"/>
  <c r="E505" i="3" s="1"/>
  <c r="F504" i="3"/>
  <c r="D506" i="3" l="1"/>
  <c r="E506" i="3" s="1"/>
  <c r="F505" i="3"/>
  <c r="D507" i="3" l="1"/>
  <c r="E507" i="3" s="1"/>
  <c r="F506" i="3"/>
  <c r="D508" i="3" l="1"/>
  <c r="E508" i="3" s="1"/>
  <c r="F507" i="3"/>
  <c r="D509" i="3" l="1"/>
  <c r="E509" i="3" s="1"/>
  <c r="F508" i="3"/>
  <c r="D510" i="3" l="1"/>
  <c r="E510" i="3" s="1"/>
  <c r="F509" i="3"/>
  <c r="D511" i="3" l="1"/>
  <c r="E511" i="3" s="1"/>
  <c r="F510" i="3"/>
  <c r="D512" i="3" l="1"/>
  <c r="E512" i="3" s="1"/>
  <c r="F511" i="3"/>
  <c r="D513" i="3" l="1"/>
  <c r="E513" i="3" s="1"/>
  <c r="F512" i="3"/>
  <c r="D514" i="3" l="1"/>
  <c r="E514" i="3" s="1"/>
  <c r="F513" i="3"/>
  <c r="D515" i="3" l="1"/>
  <c r="E515" i="3" s="1"/>
  <c r="F514" i="3"/>
  <c r="D516" i="3" l="1"/>
  <c r="E516" i="3" s="1"/>
  <c r="F515" i="3"/>
  <c r="D517" i="3" l="1"/>
  <c r="E517" i="3" s="1"/>
  <c r="F516" i="3"/>
  <c r="D518" i="3" l="1"/>
  <c r="E518" i="3" s="1"/>
  <c r="F517" i="3"/>
  <c r="D519" i="3" l="1"/>
  <c r="E519" i="3" s="1"/>
  <c r="F518" i="3"/>
  <c r="D520" i="3" l="1"/>
  <c r="E520" i="3" s="1"/>
  <c r="F519" i="3"/>
  <c r="D521" i="3" l="1"/>
  <c r="E521" i="3" s="1"/>
  <c r="F520" i="3"/>
  <c r="D522" i="3" l="1"/>
  <c r="E522" i="3" s="1"/>
  <c r="F521" i="3"/>
  <c r="D523" i="3" l="1"/>
  <c r="E523" i="3" s="1"/>
  <c r="F522" i="3"/>
  <c r="D524" i="3" l="1"/>
  <c r="E524" i="3" s="1"/>
  <c r="F523" i="3"/>
  <c r="D525" i="3" l="1"/>
  <c r="E525" i="3" s="1"/>
  <c r="F524" i="3"/>
  <c r="D526" i="3" l="1"/>
  <c r="E526" i="3" s="1"/>
  <c r="F525" i="3"/>
  <c r="D527" i="3" l="1"/>
  <c r="E527" i="3" s="1"/>
  <c r="F526" i="3"/>
  <c r="D528" i="3" l="1"/>
  <c r="E528" i="3" s="1"/>
  <c r="F527" i="3"/>
  <c r="D529" i="3" l="1"/>
  <c r="E529" i="3" s="1"/>
  <c r="F528" i="3"/>
  <c r="D530" i="3" l="1"/>
  <c r="E530" i="3" s="1"/>
  <c r="F529" i="3"/>
  <c r="D531" i="3" l="1"/>
  <c r="E531" i="3" s="1"/>
  <c r="F530" i="3"/>
  <c r="D532" i="3" l="1"/>
  <c r="E532" i="3" s="1"/>
  <c r="F531" i="3"/>
  <c r="D533" i="3" l="1"/>
  <c r="E533" i="3" s="1"/>
  <c r="F532" i="3"/>
  <c r="D534" i="3" l="1"/>
  <c r="E534" i="3" s="1"/>
  <c r="F533" i="3"/>
  <c r="D535" i="3" l="1"/>
  <c r="E535" i="3" s="1"/>
  <c r="F534" i="3"/>
  <c r="D536" i="3" l="1"/>
  <c r="E536" i="3" s="1"/>
  <c r="F535" i="3"/>
  <c r="D537" i="3" l="1"/>
  <c r="E537" i="3" s="1"/>
  <c r="F536" i="3"/>
  <c r="D538" i="3" l="1"/>
  <c r="E538" i="3" s="1"/>
  <c r="F537" i="3"/>
  <c r="D539" i="3" l="1"/>
  <c r="E539" i="3" s="1"/>
  <c r="F538" i="3"/>
  <c r="D540" i="3" l="1"/>
  <c r="E540" i="3" s="1"/>
  <c r="F539" i="3"/>
  <c r="D541" i="3" l="1"/>
  <c r="E541" i="3" s="1"/>
  <c r="F540" i="3"/>
  <c r="D542" i="3" l="1"/>
  <c r="E542" i="3" s="1"/>
  <c r="F541" i="3"/>
  <c r="D543" i="3" l="1"/>
  <c r="E543" i="3" s="1"/>
  <c r="F542" i="3"/>
  <c r="D544" i="3" l="1"/>
  <c r="E544" i="3" s="1"/>
  <c r="F543" i="3"/>
  <c r="D545" i="3" l="1"/>
  <c r="E545" i="3" s="1"/>
  <c r="F544" i="3"/>
  <c r="D546" i="3" l="1"/>
  <c r="E546" i="3" s="1"/>
  <c r="F545" i="3"/>
  <c r="D547" i="3" l="1"/>
  <c r="E547" i="3" s="1"/>
  <c r="F546" i="3"/>
  <c r="D548" i="3" l="1"/>
  <c r="E548" i="3" s="1"/>
  <c r="F547" i="3"/>
  <c r="D549" i="3" l="1"/>
  <c r="E549" i="3" s="1"/>
  <c r="F548" i="3"/>
  <c r="D550" i="3" l="1"/>
  <c r="E550" i="3" s="1"/>
  <c r="F549" i="3"/>
  <c r="D551" i="3" l="1"/>
  <c r="E551" i="3" s="1"/>
  <c r="F550" i="3"/>
  <c r="D552" i="3" l="1"/>
  <c r="E552" i="3" s="1"/>
  <c r="F551" i="3"/>
  <c r="D553" i="3" l="1"/>
  <c r="E553" i="3" s="1"/>
  <c r="F552" i="3"/>
  <c r="D554" i="3" l="1"/>
  <c r="E554" i="3" s="1"/>
  <c r="F553" i="3"/>
  <c r="D555" i="3" l="1"/>
  <c r="E555" i="3" s="1"/>
  <c r="F554" i="3"/>
  <c r="D556" i="3" l="1"/>
  <c r="E556" i="3" s="1"/>
  <c r="F555" i="3"/>
  <c r="D557" i="3" l="1"/>
  <c r="E557" i="3" s="1"/>
  <c r="F556" i="3"/>
  <c r="D558" i="3" l="1"/>
  <c r="E558" i="3" s="1"/>
  <c r="F557" i="3"/>
  <c r="D559" i="3" l="1"/>
  <c r="E559" i="3" s="1"/>
  <c r="F558" i="3"/>
  <c r="D560" i="3" l="1"/>
  <c r="E560" i="3" s="1"/>
  <c r="F559" i="3"/>
  <c r="D561" i="3" l="1"/>
  <c r="E561" i="3" s="1"/>
  <c r="F560" i="3"/>
  <c r="D562" i="3" l="1"/>
  <c r="E562" i="3" s="1"/>
  <c r="F561" i="3"/>
  <c r="D563" i="3" l="1"/>
  <c r="E563" i="3" s="1"/>
  <c r="F562" i="3"/>
  <c r="D564" i="3" l="1"/>
  <c r="E564" i="3" s="1"/>
  <c r="F563" i="3"/>
  <c r="D565" i="3" l="1"/>
  <c r="E565" i="3" s="1"/>
  <c r="F564" i="3"/>
  <c r="D566" i="3" l="1"/>
  <c r="E566" i="3" s="1"/>
  <c r="F565" i="3"/>
  <c r="D567" i="3" l="1"/>
  <c r="E567" i="3" s="1"/>
  <c r="F566" i="3"/>
  <c r="D568" i="3" l="1"/>
  <c r="E568" i="3" s="1"/>
  <c r="F567" i="3"/>
  <c r="D569" i="3" l="1"/>
  <c r="E569" i="3" s="1"/>
  <c r="F568" i="3"/>
  <c r="D570" i="3" l="1"/>
  <c r="E570" i="3" s="1"/>
  <c r="F569" i="3"/>
  <c r="D571" i="3" l="1"/>
  <c r="E571" i="3" s="1"/>
  <c r="F570" i="3"/>
  <c r="D572" i="3" l="1"/>
  <c r="E572" i="3" s="1"/>
  <c r="F571" i="3"/>
  <c r="D573" i="3" l="1"/>
  <c r="E573" i="3" s="1"/>
  <c r="F572" i="3"/>
  <c r="D574" i="3" l="1"/>
  <c r="E574" i="3" s="1"/>
  <c r="F573" i="3"/>
  <c r="D575" i="3" l="1"/>
  <c r="E575" i="3" s="1"/>
  <c r="F574" i="3"/>
  <c r="D576" i="3" l="1"/>
  <c r="E576" i="3" s="1"/>
  <c r="F575" i="3"/>
  <c r="D577" i="3" l="1"/>
  <c r="E577" i="3" s="1"/>
  <c r="F576" i="3"/>
  <c r="D578" i="3" l="1"/>
  <c r="E578" i="3" s="1"/>
  <c r="F577" i="3"/>
  <c r="D579" i="3" l="1"/>
  <c r="E579" i="3" s="1"/>
  <c r="F578" i="3"/>
  <c r="D580" i="3" l="1"/>
  <c r="E580" i="3" s="1"/>
  <c r="F579" i="3"/>
  <c r="D581" i="3" l="1"/>
  <c r="E581" i="3" s="1"/>
  <c r="F580" i="3"/>
  <c r="D582" i="3" l="1"/>
  <c r="E582" i="3" s="1"/>
  <c r="F581" i="3"/>
  <c r="D583" i="3" l="1"/>
  <c r="E583" i="3" s="1"/>
  <c r="F582" i="3"/>
  <c r="D584" i="3" l="1"/>
  <c r="E584" i="3" s="1"/>
  <c r="F583" i="3"/>
  <c r="D585" i="3" l="1"/>
  <c r="E585" i="3" s="1"/>
  <c r="F584" i="3"/>
  <c r="D586" i="3" l="1"/>
  <c r="E586" i="3" s="1"/>
  <c r="F585" i="3"/>
  <c r="D587" i="3" l="1"/>
  <c r="E587" i="3" s="1"/>
  <c r="F586" i="3"/>
  <c r="D588" i="3" l="1"/>
  <c r="E588" i="3" s="1"/>
  <c r="F587" i="3"/>
  <c r="D589" i="3" l="1"/>
  <c r="E589" i="3" s="1"/>
  <c r="F588" i="3"/>
  <c r="D590" i="3" l="1"/>
  <c r="E590" i="3" s="1"/>
  <c r="F589" i="3"/>
  <c r="D591" i="3" l="1"/>
  <c r="E591" i="3" s="1"/>
  <c r="F590" i="3"/>
  <c r="D592" i="3" l="1"/>
  <c r="E592" i="3" s="1"/>
  <c r="F591" i="3"/>
  <c r="D593" i="3" l="1"/>
  <c r="E593" i="3" s="1"/>
  <c r="F592" i="3"/>
  <c r="D594" i="3" l="1"/>
  <c r="E594" i="3" s="1"/>
  <c r="F593" i="3"/>
  <c r="D595" i="3" l="1"/>
  <c r="E595" i="3" s="1"/>
  <c r="F594" i="3"/>
  <c r="D596" i="3" l="1"/>
  <c r="E596" i="3" s="1"/>
  <c r="F595" i="3"/>
  <c r="D597" i="3" l="1"/>
  <c r="E597" i="3" s="1"/>
  <c r="F596" i="3"/>
  <c r="D598" i="3" l="1"/>
  <c r="E598" i="3" s="1"/>
  <c r="F597" i="3"/>
  <c r="D599" i="3" l="1"/>
  <c r="E599" i="3" s="1"/>
  <c r="F598" i="3"/>
  <c r="D600" i="3" l="1"/>
  <c r="E600" i="3" s="1"/>
  <c r="F599" i="3"/>
  <c r="D601" i="3" l="1"/>
  <c r="E601" i="3" s="1"/>
  <c r="F600" i="3"/>
  <c r="D602" i="3" l="1"/>
  <c r="E602" i="3" s="1"/>
  <c r="F601" i="3"/>
  <c r="D603" i="3" l="1"/>
  <c r="E603" i="3" s="1"/>
  <c r="F602" i="3"/>
  <c r="D604" i="3" l="1"/>
  <c r="E604" i="3" s="1"/>
  <c r="F603" i="3"/>
  <c r="D605" i="3" l="1"/>
  <c r="E605" i="3" s="1"/>
  <c r="F604" i="3"/>
  <c r="D606" i="3" l="1"/>
  <c r="E606" i="3" s="1"/>
  <c r="F605" i="3"/>
  <c r="D607" i="3" l="1"/>
  <c r="E607" i="3" s="1"/>
  <c r="F606" i="3"/>
  <c r="D608" i="3" l="1"/>
  <c r="E608" i="3" s="1"/>
  <c r="F607" i="3"/>
  <c r="D609" i="3" l="1"/>
  <c r="E609" i="3" s="1"/>
  <c r="F608" i="3"/>
  <c r="D610" i="3" l="1"/>
  <c r="E610" i="3" s="1"/>
  <c r="F609" i="3"/>
  <c r="D611" i="3" l="1"/>
  <c r="E611" i="3" s="1"/>
  <c r="F610" i="3"/>
  <c r="D612" i="3" l="1"/>
  <c r="E612" i="3" s="1"/>
  <c r="F611" i="3"/>
  <c r="D613" i="3" l="1"/>
  <c r="E613" i="3" s="1"/>
  <c r="F612" i="3"/>
  <c r="D614" i="3" l="1"/>
  <c r="E614" i="3" s="1"/>
  <c r="F613" i="3"/>
  <c r="D615" i="3" l="1"/>
  <c r="E615" i="3" s="1"/>
  <c r="F614" i="3"/>
  <c r="D616" i="3" l="1"/>
  <c r="E616" i="3" s="1"/>
  <c r="F615" i="3"/>
  <c r="D617" i="3" l="1"/>
  <c r="E617" i="3" s="1"/>
  <c r="F616" i="3"/>
  <c r="D618" i="3" l="1"/>
  <c r="E618" i="3" s="1"/>
  <c r="F617" i="3"/>
  <c r="D619" i="3" l="1"/>
  <c r="E619" i="3" s="1"/>
  <c r="F618" i="3"/>
  <c r="D620" i="3" l="1"/>
  <c r="E620" i="3" s="1"/>
  <c r="F619" i="3"/>
  <c r="D621" i="3" l="1"/>
  <c r="E621" i="3" s="1"/>
  <c r="F620" i="3"/>
  <c r="D622" i="3" l="1"/>
  <c r="E622" i="3" s="1"/>
  <c r="F621" i="3"/>
  <c r="D623" i="3" l="1"/>
  <c r="E623" i="3" s="1"/>
  <c r="F622" i="3"/>
  <c r="D624" i="3" l="1"/>
  <c r="E624" i="3" s="1"/>
  <c r="F623" i="3"/>
  <c r="D625" i="3" l="1"/>
  <c r="E625" i="3" s="1"/>
  <c r="F624" i="3"/>
  <c r="D626" i="3" l="1"/>
  <c r="E626" i="3" s="1"/>
  <c r="F625" i="3"/>
  <c r="D627" i="3" l="1"/>
  <c r="E627" i="3" s="1"/>
  <c r="F626" i="3"/>
  <c r="D628" i="3" l="1"/>
  <c r="E628" i="3" s="1"/>
  <c r="F627" i="3"/>
  <c r="D629" i="3" l="1"/>
  <c r="E629" i="3" s="1"/>
  <c r="F628" i="3"/>
  <c r="D630" i="3" l="1"/>
  <c r="E630" i="3" s="1"/>
  <c r="F629" i="3"/>
  <c r="D631" i="3" l="1"/>
  <c r="E631" i="3" s="1"/>
  <c r="F630" i="3"/>
  <c r="D632" i="3" l="1"/>
  <c r="E632" i="3" s="1"/>
  <c r="F631" i="3"/>
  <c r="D633" i="3" l="1"/>
  <c r="E633" i="3" s="1"/>
  <c r="F632" i="3"/>
  <c r="D634" i="3" l="1"/>
  <c r="E634" i="3" s="1"/>
  <c r="F633" i="3"/>
  <c r="D635" i="3" l="1"/>
  <c r="E635" i="3" s="1"/>
  <c r="F634" i="3"/>
  <c r="D636" i="3" l="1"/>
  <c r="E636" i="3" s="1"/>
  <c r="F635" i="3"/>
  <c r="D637" i="3" l="1"/>
  <c r="E637" i="3" s="1"/>
  <c r="F636" i="3"/>
  <c r="D638" i="3" l="1"/>
  <c r="E638" i="3" s="1"/>
  <c r="F637" i="3"/>
  <c r="D639" i="3" l="1"/>
  <c r="E639" i="3" s="1"/>
  <c r="F638" i="3"/>
  <c r="D640" i="3" l="1"/>
  <c r="E640" i="3" s="1"/>
  <c r="F639" i="3"/>
  <c r="D641" i="3" l="1"/>
  <c r="E641" i="3" s="1"/>
  <c r="F640" i="3"/>
  <c r="D642" i="3" l="1"/>
  <c r="E642" i="3" s="1"/>
  <c r="F641" i="3"/>
  <c r="D643" i="3" l="1"/>
  <c r="E643" i="3" s="1"/>
  <c r="F642" i="3"/>
  <c r="D644" i="3" l="1"/>
  <c r="E644" i="3" s="1"/>
  <c r="F643" i="3"/>
  <c r="D645" i="3" l="1"/>
  <c r="E645" i="3" s="1"/>
  <c r="F644" i="3"/>
  <c r="D646" i="3" l="1"/>
  <c r="E646" i="3" s="1"/>
  <c r="F645" i="3"/>
  <c r="D647" i="3" l="1"/>
  <c r="E647" i="3" s="1"/>
  <c r="F646" i="3"/>
  <c r="D648" i="3" l="1"/>
  <c r="E648" i="3" s="1"/>
  <c r="F647" i="3"/>
  <c r="D649" i="3" l="1"/>
  <c r="E649" i="3" s="1"/>
  <c r="F648" i="3"/>
  <c r="D650" i="3" l="1"/>
  <c r="E650" i="3" s="1"/>
  <c r="F649" i="3"/>
  <c r="D651" i="3" l="1"/>
  <c r="E651" i="3" s="1"/>
  <c r="F650" i="3"/>
  <c r="D652" i="3" l="1"/>
  <c r="E652" i="3" s="1"/>
  <c r="F651" i="3"/>
  <c r="D653" i="3" l="1"/>
  <c r="E653" i="3" s="1"/>
  <c r="F652" i="3"/>
  <c r="D654" i="3" l="1"/>
  <c r="E654" i="3" s="1"/>
  <c r="F653" i="3"/>
  <c r="D655" i="3" l="1"/>
  <c r="E655" i="3" s="1"/>
  <c r="F654" i="3"/>
  <c r="D656" i="3" l="1"/>
  <c r="E656" i="3" s="1"/>
  <c r="F655" i="3"/>
  <c r="D657" i="3" l="1"/>
  <c r="E657" i="3" s="1"/>
  <c r="F656" i="3"/>
  <c r="D658" i="3" l="1"/>
  <c r="E658" i="3" s="1"/>
  <c r="F657" i="3"/>
  <c r="D659" i="3" l="1"/>
  <c r="E659" i="3" s="1"/>
  <c r="F658" i="3"/>
  <c r="D660" i="3" l="1"/>
  <c r="E660" i="3" s="1"/>
  <c r="F659" i="3"/>
  <c r="D661" i="3" l="1"/>
  <c r="E661" i="3" s="1"/>
  <c r="F660" i="3"/>
  <c r="D662" i="3" l="1"/>
  <c r="E662" i="3" s="1"/>
  <c r="F661" i="3"/>
  <c r="D663" i="3" l="1"/>
  <c r="E663" i="3" s="1"/>
  <c r="F662" i="3"/>
  <c r="D664" i="3" l="1"/>
  <c r="E664" i="3" s="1"/>
  <c r="F663" i="3"/>
  <c r="D665" i="3" l="1"/>
  <c r="E665" i="3" s="1"/>
  <c r="F664" i="3"/>
  <c r="D666" i="3" l="1"/>
  <c r="E666" i="3" s="1"/>
  <c r="F665" i="3"/>
  <c r="D667" i="3" l="1"/>
  <c r="E667" i="3" s="1"/>
  <c r="F666" i="3"/>
  <c r="D668" i="3" l="1"/>
  <c r="E668" i="3" s="1"/>
  <c r="F667" i="3"/>
  <c r="D669" i="3" l="1"/>
  <c r="E669" i="3" s="1"/>
  <c r="F668" i="3"/>
  <c r="D670" i="3" l="1"/>
  <c r="E670" i="3" s="1"/>
  <c r="F669" i="3"/>
  <c r="D671" i="3" l="1"/>
  <c r="E671" i="3" s="1"/>
  <c r="F670" i="3"/>
  <c r="D672" i="3" l="1"/>
  <c r="E672" i="3" s="1"/>
  <c r="F671" i="3"/>
  <c r="D673" i="3" l="1"/>
  <c r="E673" i="3" s="1"/>
  <c r="F672" i="3"/>
  <c r="D674" i="3" l="1"/>
  <c r="E674" i="3" s="1"/>
  <c r="F673" i="3"/>
  <c r="D675" i="3" l="1"/>
  <c r="E675" i="3" s="1"/>
  <c r="F674" i="3"/>
  <c r="D676" i="3" l="1"/>
  <c r="E676" i="3" s="1"/>
  <c r="F675" i="3"/>
  <c r="D677" i="3" l="1"/>
  <c r="E677" i="3" s="1"/>
  <c r="F676" i="3"/>
  <c r="D678" i="3" l="1"/>
  <c r="E678" i="3" s="1"/>
  <c r="F677" i="3"/>
  <c r="D679" i="3" l="1"/>
  <c r="E679" i="3" s="1"/>
  <c r="F678" i="3"/>
  <c r="D680" i="3" l="1"/>
  <c r="E680" i="3" s="1"/>
  <c r="F679" i="3"/>
  <c r="D681" i="3" l="1"/>
  <c r="E681" i="3" s="1"/>
  <c r="F680" i="3"/>
  <c r="D682" i="3" l="1"/>
  <c r="E682" i="3" s="1"/>
  <c r="F681" i="3"/>
  <c r="D683" i="3" l="1"/>
  <c r="E683" i="3" s="1"/>
  <c r="F682" i="3"/>
  <c r="D684" i="3" l="1"/>
  <c r="E684" i="3" s="1"/>
  <c r="F683" i="3"/>
  <c r="D685" i="3" l="1"/>
  <c r="E685" i="3" s="1"/>
  <c r="F684" i="3"/>
  <c r="D686" i="3" l="1"/>
  <c r="E686" i="3" s="1"/>
  <c r="F685" i="3"/>
  <c r="D687" i="3" l="1"/>
  <c r="E687" i="3" s="1"/>
  <c r="F686" i="3"/>
  <c r="D688" i="3" l="1"/>
  <c r="E688" i="3" s="1"/>
  <c r="F687" i="3"/>
  <c r="D689" i="3" l="1"/>
  <c r="E689" i="3" s="1"/>
  <c r="F688" i="3"/>
  <c r="D690" i="3" l="1"/>
  <c r="E690" i="3" s="1"/>
  <c r="F689" i="3"/>
  <c r="D691" i="3" l="1"/>
  <c r="E691" i="3" s="1"/>
  <c r="F690" i="3"/>
  <c r="D692" i="3" l="1"/>
  <c r="E692" i="3" s="1"/>
  <c r="F691" i="3"/>
  <c r="D693" i="3" l="1"/>
  <c r="E693" i="3" s="1"/>
  <c r="F692" i="3"/>
  <c r="D694" i="3" l="1"/>
  <c r="E694" i="3" s="1"/>
  <c r="F693" i="3"/>
  <c r="D695" i="3" l="1"/>
  <c r="E695" i="3" s="1"/>
  <c r="F694" i="3"/>
  <c r="D696" i="3" l="1"/>
  <c r="E696" i="3" s="1"/>
  <c r="F695" i="3"/>
  <c r="D697" i="3" l="1"/>
  <c r="E697" i="3"/>
  <c r="F696" i="3"/>
  <c r="D698" i="3" l="1"/>
  <c r="E698" i="3" s="1"/>
  <c r="F697" i="3"/>
  <c r="D699" i="3" l="1"/>
  <c r="E699" i="3" s="1"/>
  <c r="F698" i="3"/>
  <c r="D700" i="3" l="1"/>
  <c r="E700" i="3" s="1"/>
  <c r="F699" i="3"/>
  <c r="D701" i="3" l="1"/>
  <c r="E701" i="3" s="1"/>
  <c r="F700" i="3"/>
  <c r="D702" i="3" l="1"/>
  <c r="E702" i="3" s="1"/>
  <c r="F701" i="3"/>
  <c r="D703" i="3" l="1"/>
  <c r="E703" i="3" s="1"/>
  <c r="F702" i="3"/>
  <c r="D704" i="3" l="1"/>
  <c r="E704" i="3" s="1"/>
  <c r="F703" i="3"/>
  <c r="D705" i="3" l="1"/>
  <c r="E705" i="3" s="1"/>
  <c r="F704" i="3"/>
  <c r="D706" i="3" l="1"/>
  <c r="E706" i="3" s="1"/>
  <c r="F705" i="3"/>
  <c r="D707" i="3" l="1"/>
  <c r="E707" i="3" s="1"/>
  <c r="F706" i="3"/>
  <c r="D708" i="3" l="1"/>
  <c r="E708" i="3" s="1"/>
  <c r="F707" i="3"/>
  <c r="D709" i="3" l="1"/>
  <c r="E709" i="3" s="1"/>
  <c r="F708" i="3"/>
  <c r="D710" i="3" l="1"/>
  <c r="E710" i="3" s="1"/>
  <c r="F709" i="3"/>
  <c r="D711" i="3" l="1"/>
  <c r="E711" i="3" s="1"/>
  <c r="F710" i="3"/>
  <c r="D712" i="3" l="1"/>
  <c r="E712" i="3" s="1"/>
  <c r="F711" i="3"/>
  <c r="D713" i="3" l="1"/>
  <c r="E713" i="3" s="1"/>
  <c r="F712" i="3"/>
  <c r="D714" i="3" l="1"/>
  <c r="E714" i="3" s="1"/>
  <c r="F713" i="3"/>
  <c r="D715" i="3" l="1"/>
  <c r="E715" i="3" s="1"/>
  <c r="F714" i="3"/>
  <c r="D716" i="3" l="1"/>
  <c r="E716" i="3" s="1"/>
  <c r="F715" i="3"/>
  <c r="D717" i="3" l="1"/>
  <c r="E717" i="3" s="1"/>
  <c r="F716" i="3"/>
  <c r="D718" i="3" l="1"/>
  <c r="E718" i="3" s="1"/>
  <c r="F717" i="3"/>
  <c r="D719" i="3" l="1"/>
  <c r="E719" i="3" s="1"/>
  <c r="F718" i="3"/>
  <c r="D720" i="3" l="1"/>
  <c r="E720" i="3" s="1"/>
  <c r="F719" i="3"/>
  <c r="D721" i="3" l="1"/>
  <c r="E721" i="3" s="1"/>
  <c r="F720" i="3"/>
  <c r="D722" i="3" l="1"/>
  <c r="E722" i="3" s="1"/>
  <c r="F721" i="3"/>
  <c r="D723" i="3" l="1"/>
  <c r="E723" i="3" s="1"/>
  <c r="F722" i="3"/>
  <c r="D724" i="3" l="1"/>
  <c r="E724" i="3" s="1"/>
  <c r="F723" i="3"/>
  <c r="D725" i="3" l="1"/>
  <c r="E725" i="3" s="1"/>
  <c r="F724" i="3"/>
  <c r="D726" i="3" l="1"/>
  <c r="E726" i="3" s="1"/>
  <c r="F725" i="3"/>
  <c r="D727" i="3" l="1"/>
  <c r="E727" i="3" s="1"/>
  <c r="F726" i="3"/>
  <c r="D728" i="3" l="1"/>
  <c r="E728" i="3" s="1"/>
  <c r="F727" i="3"/>
  <c r="D729" i="3" l="1"/>
  <c r="E729" i="3" s="1"/>
  <c r="F728" i="3"/>
  <c r="D730" i="3" l="1"/>
  <c r="E730" i="3" s="1"/>
  <c r="F729" i="3"/>
  <c r="D731" i="3" l="1"/>
  <c r="E731" i="3" s="1"/>
  <c r="F730" i="3"/>
  <c r="D732" i="3" l="1"/>
  <c r="E732" i="3" s="1"/>
  <c r="F731" i="3"/>
  <c r="D733" i="3" l="1"/>
  <c r="E733" i="3" s="1"/>
  <c r="F732" i="3"/>
  <c r="D734" i="3" l="1"/>
  <c r="E734" i="3" s="1"/>
  <c r="F733" i="3"/>
  <c r="D735" i="3" l="1"/>
  <c r="E735" i="3" s="1"/>
  <c r="F734" i="3"/>
  <c r="D736" i="3" l="1"/>
  <c r="E736" i="3" s="1"/>
  <c r="F735" i="3"/>
  <c r="D737" i="3" l="1"/>
  <c r="E737" i="3" s="1"/>
  <c r="F736" i="3"/>
  <c r="D738" i="3" l="1"/>
  <c r="E738" i="3" s="1"/>
  <c r="F737" i="3"/>
  <c r="D739" i="3" l="1"/>
  <c r="E739" i="3" s="1"/>
  <c r="F738" i="3"/>
  <c r="D740" i="3" l="1"/>
  <c r="E740" i="3" s="1"/>
  <c r="F739" i="3"/>
  <c r="D741" i="3" l="1"/>
  <c r="E741" i="3" s="1"/>
  <c r="F740" i="3"/>
  <c r="D742" i="3" l="1"/>
  <c r="E742" i="3" s="1"/>
  <c r="F741" i="3"/>
  <c r="D743" i="3" l="1"/>
  <c r="E743" i="3" s="1"/>
  <c r="F742" i="3"/>
  <c r="D744" i="3" l="1"/>
  <c r="E744" i="3" s="1"/>
  <c r="F743" i="3"/>
  <c r="D745" i="3" l="1"/>
  <c r="E745" i="3" s="1"/>
  <c r="F744" i="3"/>
  <c r="D746" i="3" l="1"/>
  <c r="E746" i="3" s="1"/>
  <c r="F745" i="3"/>
  <c r="D747" i="3" l="1"/>
  <c r="E747" i="3" s="1"/>
  <c r="F746" i="3"/>
  <c r="D748" i="3" l="1"/>
  <c r="E748" i="3" s="1"/>
  <c r="F747" i="3"/>
  <c r="D749" i="3" l="1"/>
  <c r="E749" i="3" s="1"/>
  <c r="F748" i="3"/>
  <c r="D750" i="3" l="1"/>
  <c r="E750" i="3" s="1"/>
  <c r="F749" i="3"/>
  <c r="D751" i="3" l="1"/>
  <c r="E751" i="3" s="1"/>
  <c r="F750" i="3"/>
  <c r="D752" i="3" l="1"/>
  <c r="E752" i="3" s="1"/>
  <c r="F751" i="3"/>
  <c r="D753" i="3" l="1"/>
  <c r="E753" i="3" s="1"/>
  <c r="F752" i="3"/>
  <c r="D754" i="3" l="1"/>
  <c r="E754" i="3" s="1"/>
  <c r="F753" i="3"/>
  <c r="D755" i="3" l="1"/>
  <c r="E755" i="3" s="1"/>
  <c r="F754" i="3"/>
  <c r="D756" i="3" l="1"/>
  <c r="E756" i="3" s="1"/>
  <c r="F755" i="3"/>
  <c r="D757" i="3" l="1"/>
  <c r="E757" i="3" s="1"/>
  <c r="F756" i="3"/>
  <c r="D758" i="3" l="1"/>
  <c r="E758" i="3" s="1"/>
  <c r="F757" i="3"/>
  <c r="D759" i="3" l="1"/>
  <c r="E759" i="3" s="1"/>
  <c r="F758" i="3"/>
  <c r="D760" i="3" l="1"/>
  <c r="E760" i="3" s="1"/>
  <c r="F759" i="3"/>
  <c r="D761" i="3" l="1"/>
  <c r="E761" i="3" s="1"/>
  <c r="F760" i="3"/>
  <c r="D762" i="3" l="1"/>
  <c r="E762" i="3" s="1"/>
  <c r="F761" i="3"/>
  <c r="D763" i="3" l="1"/>
  <c r="E763" i="3" s="1"/>
  <c r="F762" i="3"/>
  <c r="D764" i="3" l="1"/>
  <c r="E764" i="3" s="1"/>
  <c r="F763" i="3"/>
  <c r="D765" i="3" l="1"/>
  <c r="E765" i="3" s="1"/>
  <c r="F764" i="3"/>
  <c r="D766" i="3" l="1"/>
  <c r="E766" i="3" s="1"/>
  <c r="F765" i="3"/>
  <c r="D767" i="3" l="1"/>
  <c r="E767" i="3" s="1"/>
  <c r="F766" i="3"/>
  <c r="D768" i="3" l="1"/>
  <c r="E768" i="3" s="1"/>
  <c r="F767" i="3"/>
  <c r="D769" i="3" l="1"/>
  <c r="E769" i="3" s="1"/>
  <c r="F768" i="3"/>
  <c r="D770" i="3" l="1"/>
  <c r="E770" i="3" s="1"/>
  <c r="F769" i="3"/>
  <c r="D771" i="3" l="1"/>
  <c r="E771" i="3" s="1"/>
  <c r="F770" i="3"/>
  <c r="D772" i="3" l="1"/>
  <c r="E772" i="3" s="1"/>
  <c r="F771" i="3"/>
  <c r="D773" i="3" l="1"/>
  <c r="E773" i="3" s="1"/>
  <c r="F772" i="3"/>
  <c r="D774" i="3" l="1"/>
  <c r="E774" i="3" s="1"/>
  <c r="F773" i="3"/>
  <c r="D775" i="3" l="1"/>
  <c r="E775" i="3" s="1"/>
  <c r="F774" i="3"/>
  <c r="D776" i="3" l="1"/>
  <c r="E776" i="3" s="1"/>
  <c r="F775" i="3"/>
  <c r="D777" i="3" l="1"/>
  <c r="E777" i="3" s="1"/>
  <c r="F776" i="3"/>
  <c r="D778" i="3" l="1"/>
  <c r="E778" i="3" s="1"/>
  <c r="F777" i="3"/>
  <c r="D779" i="3" l="1"/>
  <c r="E779" i="3" s="1"/>
  <c r="F778" i="3"/>
  <c r="D780" i="3" l="1"/>
  <c r="E780" i="3" s="1"/>
  <c r="F779" i="3"/>
  <c r="D781" i="3" l="1"/>
  <c r="E781" i="3" s="1"/>
  <c r="F780" i="3"/>
  <c r="D782" i="3" l="1"/>
  <c r="E782" i="3" s="1"/>
  <c r="F781" i="3"/>
  <c r="D783" i="3" l="1"/>
  <c r="E783" i="3" s="1"/>
  <c r="F782" i="3"/>
  <c r="D784" i="3" l="1"/>
  <c r="E784" i="3" s="1"/>
  <c r="F783" i="3"/>
  <c r="D785" i="3" l="1"/>
  <c r="E785" i="3" s="1"/>
  <c r="F784" i="3"/>
  <c r="D786" i="3" l="1"/>
  <c r="E786" i="3" s="1"/>
  <c r="F785" i="3"/>
  <c r="D787" i="3" l="1"/>
  <c r="E787" i="3" s="1"/>
  <c r="F786" i="3"/>
  <c r="D788" i="3" l="1"/>
  <c r="E788" i="3" s="1"/>
  <c r="F787" i="3"/>
  <c r="D789" i="3" l="1"/>
  <c r="E789" i="3" s="1"/>
  <c r="F788" i="3"/>
  <c r="D790" i="3" l="1"/>
  <c r="E790" i="3" s="1"/>
  <c r="F789" i="3"/>
  <c r="D791" i="3" l="1"/>
  <c r="E791" i="3" s="1"/>
  <c r="F790" i="3"/>
  <c r="D792" i="3" l="1"/>
  <c r="E792" i="3" s="1"/>
  <c r="F791" i="3"/>
  <c r="D793" i="3" l="1"/>
  <c r="E793" i="3" s="1"/>
  <c r="F792" i="3"/>
  <c r="D794" i="3" l="1"/>
  <c r="E794" i="3" s="1"/>
  <c r="F793" i="3"/>
  <c r="D795" i="3" l="1"/>
  <c r="E795" i="3" s="1"/>
  <c r="F794" i="3"/>
  <c r="D796" i="3" l="1"/>
  <c r="E796" i="3" s="1"/>
  <c r="F795" i="3"/>
  <c r="D797" i="3" l="1"/>
  <c r="E797" i="3" s="1"/>
  <c r="F796" i="3"/>
  <c r="D798" i="3" l="1"/>
  <c r="E798" i="3" s="1"/>
  <c r="F797" i="3"/>
  <c r="D799" i="3" l="1"/>
  <c r="E799" i="3" s="1"/>
  <c r="F798" i="3"/>
  <c r="D800" i="3" l="1"/>
  <c r="E800" i="3" s="1"/>
  <c r="F799" i="3"/>
  <c r="D801" i="3" l="1"/>
  <c r="E801" i="3" s="1"/>
  <c r="F800" i="3"/>
  <c r="D802" i="3" l="1"/>
  <c r="E802" i="3" s="1"/>
  <c r="F801" i="3"/>
  <c r="D803" i="3" l="1"/>
  <c r="E803" i="3" s="1"/>
  <c r="F802" i="3"/>
  <c r="D804" i="3" l="1"/>
  <c r="E804" i="3" s="1"/>
  <c r="F803" i="3"/>
  <c r="D805" i="3" l="1"/>
  <c r="E805" i="3" s="1"/>
  <c r="F804" i="3"/>
  <c r="D806" i="3" l="1"/>
  <c r="E806" i="3" s="1"/>
  <c r="F805" i="3"/>
  <c r="D807" i="3" l="1"/>
  <c r="E807" i="3" s="1"/>
  <c r="F806" i="3"/>
  <c r="D808" i="3" l="1"/>
  <c r="E808" i="3" s="1"/>
  <c r="F807" i="3"/>
  <c r="D809" i="3" l="1"/>
  <c r="E809" i="3" s="1"/>
  <c r="F808" i="3"/>
  <c r="D810" i="3" l="1"/>
  <c r="E810" i="3" s="1"/>
  <c r="F809" i="3"/>
  <c r="D811" i="3" l="1"/>
  <c r="E811" i="3" s="1"/>
  <c r="F810" i="3"/>
  <c r="D812" i="3" l="1"/>
  <c r="E812" i="3" s="1"/>
  <c r="F811" i="3"/>
  <c r="D813" i="3" l="1"/>
  <c r="E813" i="3" s="1"/>
  <c r="F812" i="3"/>
  <c r="D814" i="3" l="1"/>
  <c r="E814" i="3" s="1"/>
  <c r="F813" i="3"/>
  <c r="D815" i="3" l="1"/>
  <c r="E815" i="3" s="1"/>
  <c r="F814" i="3"/>
  <c r="D816" i="3" l="1"/>
  <c r="E816" i="3" s="1"/>
  <c r="F815" i="3"/>
  <c r="D817" i="3" l="1"/>
  <c r="E817" i="3" s="1"/>
  <c r="F816" i="3"/>
  <c r="D818" i="3" l="1"/>
  <c r="E818" i="3" s="1"/>
  <c r="F817" i="3"/>
  <c r="D819" i="3" l="1"/>
  <c r="E819" i="3" s="1"/>
  <c r="F818" i="3"/>
  <c r="D820" i="3" l="1"/>
  <c r="E820" i="3" s="1"/>
  <c r="F819" i="3"/>
  <c r="D821" i="3" l="1"/>
  <c r="E821" i="3" s="1"/>
  <c r="F820" i="3"/>
  <c r="D822" i="3" l="1"/>
  <c r="E822" i="3" s="1"/>
  <c r="F821" i="3"/>
  <c r="D823" i="3" l="1"/>
  <c r="E823" i="3" s="1"/>
  <c r="F822" i="3"/>
  <c r="D824" i="3" l="1"/>
  <c r="E824" i="3" s="1"/>
  <c r="F823" i="3"/>
  <c r="D825" i="3" l="1"/>
  <c r="E825" i="3" s="1"/>
  <c r="F824" i="3"/>
  <c r="D826" i="3" l="1"/>
  <c r="E826" i="3" s="1"/>
  <c r="F825" i="3"/>
  <c r="D827" i="3" l="1"/>
  <c r="E827" i="3" s="1"/>
  <c r="F826" i="3"/>
  <c r="D828" i="3" l="1"/>
  <c r="E828" i="3" s="1"/>
  <c r="F827" i="3"/>
  <c r="D829" i="3" l="1"/>
  <c r="E829" i="3" s="1"/>
  <c r="F828" i="3"/>
  <c r="D830" i="3" l="1"/>
  <c r="E830" i="3" s="1"/>
  <c r="F829" i="3"/>
  <c r="D831" i="3" l="1"/>
  <c r="E831" i="3" s="1"/>
  <c r="F830" i="3"/>
  <c r="D832" i="3" l="1"/>
  <c r="E832" i="3" s="1"/>
  <c r="F831" i="3"/>
  <c r="D833" i="3" l="1"/>
  <c r="E833" i="3" s="1"/>
  <c r="F832" i="3"/>
  <c r="D834" i="3" l="1"/>
  <c r="E834" i="3" s="1"/>
  <c r="F833" i="3"/>
  <c r="D835" i="3" l="1"/>
  <c r="E835" i="3" s="1"/>
  <c r="F834" i="3"/>
  <c r="D836" i="3" l="1"/>
  <c r="E836" i="3" s="1"/>
  <c r="F835" i="3"/>
  <c r="D837" i="3" l="1"/>
  <c r="E837" i="3" s="1"/>
  <c r="F836" i="3"/>
  <c r="D838" i="3" l="1"/>
  <c r="E838" i="3" s="1"/>
  <c r="F837" i="3"/>
  <c r="D839" i="3" l="1"/>
  <c r="E839" i="3" s="1"/>
  <c r="F838" i="3"/>
  <c r="D840" i="3" l="1"/>
  <c r="E840" i="3" s="1"/>
  <c r="F839" i="3"/>
  <c r="D841" i="3" l="1"/>
  <c r="E841" i="3" s="1"/>
  <c r="F840" i="3"/>
  <c r="D842" i="3" l="1"/>
  <c r="E842" i="3" s="1"/>
  <c r="F841" i="3"/>
  <c r="D843" i="3" l="1"/>
  <c r="E843" i="3" s="1"/>
  <c r="F842" i="3"/>
  <c r="D844" i="3" l="1"/>
  <c r="E844" i="3" s="1"/>
  <c r="F843" i="3"/>
  <c r="D845" i="3" l="1"/>
  <c r="E845" i="3" s="1"/>
  <c r="F844" i="3"/>
  <c r="D846" i="3" l="1"/>
  <c r="E846" i="3" s="1"/>
  <c r="F845" i="3"/>
  <c r="D847" i="3" l="1"/>
  <c r="E847" i="3" s="1"/>
  <c r="F846" i="3"/>
  <c r="D848" i="3" l="1"/>
  <c r="E848" i="3" s="1"/>
  <c r="F847" i="3"/>
  <c r="D849" i="3" l="1"/>
  <c r="E849" i="3" s="1"/>
  <c r="F848" i="3"/>
  <c r="D850" i="3" l="1"/>
  <c r="E850" i="3" s="1"/>
  <c r="F849" i="3"/>
  <c r="D851" i="3" l="1"/>
  <c r="E851" i="3" s="1"/>
  <c r="F850" i="3"/>
  <c r="D852" i="3" l="1"/>
  <c r="E852" i="3" s="1"/>
  <c r="F851" i="3"/>
  <c r="D853" i="3" l="1"/>
  <c r="E853" i="3" s="1"/>
  <c r="F852" i="3"/>
  <c r="D854" i="3" l="1"/>
  <c r="E854" i="3" s="1"/>
  <c r="F853" i="3"/>
  <c r="D855" i="3" l="1"/>
  <c r="E855" i="3" s="1"/>
  <c r="F854" i="3"/>
  <c r="D856" i="3" l="1"/>
  <c r="E856" i="3" s="1"/>
  <c r="F855" i="3"/>
  <c r="D857" i="3" l="1"/>
  <c r="E857" i="3" s="1"/>
  <c r="F856" i="3"/>
  <c r="D858" i="3" l="1"/>
  <c r="E858" i="3" s="1"/>
  <c r="F857" i="3"/>
  <c r="D859" i="3" l="1"/>
  <c r="E859" i="3" s="1"/>
  <c r="F858" i="3"/>
  <c r="D860" i="3" l="1"/>
  <c r="E860" i="3" s="1"/>
  <c r="F859" i="3"/>
  <c r="D861" i="3" l="1"/>
  <c r="E861" i="3" s="1"/>
  <c r="F860" i="3"/>
  <c r="D862" i="3" l="1"/>
  <c r="E862" i="3" s="1"/>
  <c r="F861" i="3"/>
  <c r="D863" i="3" l="1"/>
  <c r="E863" i="3" s="1"/>
  <c r="F862" i="3"/>
  <c r="D864" i="3" l="1"/>
  <c r="E864" i="3" s="1"/>
  <c r="F863" i="3"/>
  <c r="D865" i="3" l="1"/>
  <c r="E865" i="3" s="1"/>
  <c r="F864" i="3"/>
  <c r="D866" i="3" l="1"/>
  <c r="E866" i="3" s="1"/>
  <c r="F865" i="3"/>
  <c r="D867" i="3" l="1"/>
  <c r="E867" i="3" s="1"/>
  <c r="F866" i="3"/>
  <c r="D868" i="3" l="1"/>
  <c r="E868" i="3" s="1"/>
  <c r="F867" i="3"/>
  <c r="D869" i="3" l="1"/>
  <c r="E869" i="3" s="1"/>
  <c r="F868" i="3"/>
  <c r="D870" i="3" l="1"/>
  <c r="E870" i="3" s="1"/>
  <c r="F869" i="3"/>
  <c r="D871" i="3" l="1"/>
  <c r="E871" i="3" s="1"/>
  <c r="F870" i="3"/>
  <c r="D872" i="3" l="1"/>
  <c r="E872" i="3" s="1"/>
  <c r="F871" i="3"/>
  <c r="D873" i="3" l="1"/>
  <c r="E873" i="3" s="1"/>
  <c r="F872" i="3"/>
  <c r="D874" i="3" l="1"/>
  <c r="E874" i="3" s="1"/>
  <c r="F873" i="3"/>
  <c r="D875" i="3" l="1"/>
  <c r="E875" i="3" s="1"/>
  <c r="F874" i="3"/>
  <c r="D876" i="3" l="1"/>
  <c r="E876" i="3" s="1"/>
  <c r="F875" i="3"/>
  <c r="D877" i="3" l="1"/>
  <c r="E877" i="3" s="1"/>
  <c r="F876" i="3"/>
  <c r="D878" i="3" l="1"/>
  <c r="E878" i="3" s="1"/>
  <c r="F877" i="3"/>
  <c r="D879" i="3" l="1"/>
  <c r="E879" i="3" s="1"/>
  <c r="F878" i="3"/>
  <c r="D880" i="3" l="1"/>
  <c r="E880" i="3" s="1"/>
  <c r="F879" i="3"/>
  <c r="D881" i="3" l="1"/>
  <c r="E881" i="3" s="1"/>
  <c r="F880" i="3"/>
  <c r="D882" i="3" l="1"/>
  <c r="E882" i="3" s="1"/>
  <c r="F881" i="3"/>
  <c r="D883" i="3" l="1"/>
  <c r="E883" i="3" s="1"/>
  <c r="F882" i="3"/>
  <c r="D884" i="3" l="1"/>
  <c r="E884" i="3" s="1"/>
  <c r="F883" i="3"/>
  <c r="D885" i="3" l="1"/>
  <c r="E885" i="3" s="1"/>
  <c r="F884" i="3"/>
  <c r="D886" i="3" l="1"/>
  <c r="E886" i="3" s="1"/>
  <c r="F885" i="3"/>
  <c r="D887" i="3" l="1"/>
  <c r="E887" i="3" s="1"/>
  <c r="F886" i="3"/>
  <c r="D888" i="3" l="1"/>
  <c r="E888" i="3" s="1"/>
  <c r="F887" i="3"/>
  <c r="D889" i="3" l="1"/>
  <c r="E889" i="3" s="1"/>
  <c r="F888" i="3"/>
  <c r="D890" i="3" l="1"/>
  <c r="E890" i="3" s="1"/>
  <c r="F889" i="3"/>
  <c r="D891" i="3" l="1"/>
  <c r="E891" i="3" s="1"/>
  <c r="F890" i="3"/>
  <c r="D892" i="3" l="1"/>
  <c r="E892" i="3" s="1"/>
  <c r="F891" i="3"/>
  <c r="D893" i="3" l="1"/>
  <c r="E893" i="3" s="1"/>
  <c r="F892" i="3"/>
  <c r="D894" i="3" l="1"/>
  <c r="E894" i="3" s="1"/>
  <c r="F893" i="3"/>
  <c r="D895" i="3" l="1"/>
  <c r="E895" i="3" s="1"/>
  <c r="F894" i="3"/>
  <c r="D896" i="3" l="1"/>
  <c r="E896" i="3" s="1"/>
  <c r="F895" i="3"/>
  <c r="D897" i="3" l="1"/>
  <c r="E897" i="3" s="1"/>
  <c r="F896" i="3"/>
  <c r="D898" i="3" l="1"/>
  <c r="E898" i="3" s="1"/>
  <c r="F897" i="3"/>
  <c r="D899" i="3" l="1"/>
  <c r="E899" i="3" s="1"/>
  <c r="F898" i="3"/>
  <c r="D900" i="3" l="1"/>
  <c r="E900" i="3" s="1"/>
  <c r="F899" i="3"/>
  <c r="D901" i="3" l="1"/>
  <c r="E901" i="3" s="1"/>
  <c r="F900" i="3"/>
  <c r="D902" i="3" l="1"/>
  <c r="E902" i="3" s="1"/>
  <c r="F901" i="3"/>
  <c r="D903" i="3" l="1"/>
  <c r="E903" i="3" s="1"/>
  <c r="F902" i="3"/>
  <c r="D904" i="3" l="1"/>
  <c r="E904" i="3" s="1"/>
  <c r="F903" i="3"/>
  <c r="D905" i="3" l="1"/>
  <c r="E905" i="3" s="1"/>
  <c r="F904" i="3"/>
  <c r="D906" i="3" l="1"/>
  <c r="E906" i="3" s="1"/>
  <c r="F905" i="3"/>
  <c r="D907" i="3" l="1"/>
  <c r="E907" i="3" s="1"/>
  <c r="F906" i="3"/>
  <c r="D908" i="3" l="1"/>
  <c r="E908" i="3" s="1"/>
  <c r="F907" i="3"/>
  <c r="D909" i="3" l="1"/>
  <c r="E909" i="3" s="1"/>
  <c r="F908" i="3"/>
  <c r="D910" i="3" l="1"/>
  <c r="E910" i="3" s="1"/>
  <c r="F909" i="3"/>
  <c r="D911" i="3" l="1"/>
  <c r="E911" i="3" s="1"/>
  <c r="F910" i="3"/>
  <c r="D912" i="3" l="1"/>
  <c r="E912" i="3" s="1"/>
  <c r="F911" i="3"/>
  <c r="D913" i="3" l="1"/>
  <c r="E913" i="3" s="1"/>
  <c r="F912" i="3"/>
  <c r="D914" i="3" l="1"/>
  <c r="E914" i="3" s="1"/>
  <c r="F913" i="3"/>
  <c r="D915" i="3" l="1"/>
  <c r="E915" i="3" s="1"/>
  <c r="F914" i="3"/>
  <c r="D916" i="3" l="1"/>
  <c r="E916" i="3" s="1"/>
  <c r="F915" i="3"/>
  <c r="D917" i="3" l="1"/>
  <c r="E917" i="3" s="1"/>
  <c r="F916" i="3"/>
  <c r="D918" i="3" l="1"/>
  <c r="E918" i="3" s="1"/>
  <c r="F917" i="3"/>
  <c r="D919" i="3" l="1"/>
  <c r="E919" i="3" s="1"/>
  <c r="F918" i="3"/>
  <c r="D920" i="3" l="1"/>
  <c r="E920" i="3" s="1"/>
  <c r="F919" i="3"/>
  <c r="D921" i="3" l="1"/>
  <c r="E921" i="3" s="1"/>
  <c r="F920" i="3"/>
  <c r="D922" i="3" l="1"/>
  <c r="E922" i="3" s="1"/>
  <c r="F921" i="3"/>
  <c r="D923" i="3" l="1"/>
  <c r="E923" i="3" s="1"/>
  <c r="F922" i="3"/>
  <c r="D924" i="3" l="1"/>
  <c r="E924" i="3" s="1"/>
  <c r="F923" i="3"/>
  <c r="D925" i="3" l="1"/>
  <c r="E925" i="3" s="1"/>
  <c r="F924" i="3"/>
  <c r="D926" i="3" l="1"/>
  <c r="E926" i="3" s="1"/>
  <c r="F925" i="3"/>
  <c r="D927" i="3" l="1"/>
  <c r="E927" i="3" s="1"/>
  <c r="F926" i="3"/>
  <c r="D928" i="3" l="1"/>
  <c r="E928" i="3" s="1"/>
  <c r="F927" i="3"/>
  <c r="D929" i="3" l="1"/>
  <c r="E929" i="3" s="1"/>
  <c r="F928" i="3"/>
  <c r="D930" i="3" l="1"/>
  <c r="E930" i="3" s="1"/>
  <c r="F929" i="3"/>
  <c r="D931" i="3" l="1"/>
  <c r="E931" i="3" s="1"/>
  <c r="F930" i="3"/>
  <c r="D932" i="3" l="1"/>
  <c r="E932" i="3" s="1"/>
  <c r="F931" i="3"/>
  <c r="D933" i="3" l="1"/>
  <c r="E933" i="3" s="1"/>
  <c r="F932" i="3"/>
  <c r="D934" i="3" l="1"/>
  <c r="E934" i="3" s="1"/>
  <c r="F933" i="3"/>
  <c r="D935" i="3" l="1"/>
  <c r="E935" i="3" s="1"/>
  <c r="F934" i="3"/>
  <c r="D936" i="3" l="1"/>
  <c r="E936" i="3" s="1"/>
  <c r="F935" i="3"/>
  <c r="D937" i="3" l="1"/>
  <c r="E937" i="3" s="1"/>
  <c r="F936" i="3"/>
  <c r="D938" i="3" l="1"/>
  <c r="E938" i="3" s="1"/>
  <c r="F937" i="3"/>
  <c r="D939" i="3" l="1"/>
  <c r="E939" i="3" s="1"/>
  <c r="F938" i="3"/>
  <c r="D940" i="3" l="1"/>
  <c r="E940" i="3" s="1"/>
  <c r="F939" i="3"/>
  <c r="D941" i="3" l="1"/>
  <c r="E941" i="3" s="1"/>
  <c r="F940" i="3"/>
  <c r="D942" i="3" l="1"/>
  <c r="E942" i="3" s="1"/>
  <c r="F941" i="3"/>
  <c r="D943" i="3" l="1"/>
  <c r="E943" i="3" s="1"/>
  <c r="F942" i="3"/>
  <c r="D944" i="3" l="1"/>
  <c r="E944" i="3" s="1"/>
  <c r="F943" i="3"/>
  <c r="D945" i="3" l="1"/>
  <c r="E945" i="3" s="1"/>
  <c r="F944" i="3"/>
  <c r="D946" i="3" l="1"/>
  <c r="E946" i="3" s="1"/>
  <c r="F945" i="3"/>
  <c r="D947" i="3" l="1"/>
  <c r="E947" i="3" s="1"/>
  <c r="F946" i="3"/>
  <c r="D948" i="3" l="1"/>
  <c r="E948" i="3" s="1"/>
  <c r="F947" i="3"/>
  <c r="D949" i="3" l="1"/>
  <c r="E949" i="3" s="1"/>
  <c r="F948" i="3"/>
  <c r="D950" i="3" l="1"/>
  <c r="E950" i="3" s="1"/>
  <c r="F949" i="3"/>
  <c r="D951" i="3" l="1"/>
  <c r="E951" i="3" s="1"/>
  <c r="F950" i="3"/>
  <c r="D952" i="3" l="1"/>
  <c r="E952" i="3" s="1"/>
  <c r="F951" i="3"/>
  <c r="D953" i="3" l="1"/>
  <c r="E953" i="3" s="1"/>
  <c r="F952" i="3"/>
  <c r="D954" i="3" l="1"/>
  <c r="E954" i="3" s="1"/>
  <c r="F953" i="3"/>
  <c r="D955" i="3" l="1"/>
  <c r="E955" i="3" s="1"/>
  <c r="F954" i="3"/>
  <c r="D956" i="3" l="1"/>
  <c r="E956" i="3" s="1"/>
  <c r="F955" i="3"/>
  <c r="D957" i="3" l="1"/>
  <c r="E957" i="3" s="1"/>
  <c r="F956" i="3"/>
  <c r="D958" i="3" l="1"/>
  <c r="E958" i="3" s="1"/>
  <c r="F957" i="3"/>
  <c r="D959" i="3" l="1"/>
  <c r="E959" i="3" s="1"/>
  <c r="F958" i="3"/>
  <c r="D960" i="3" l="1"/>
  <c r="E960" i="3" s="1"/>
  <c r="F959" i="3"/>
  <c r="D961" i="3" l="1"/>
  <c r="E961" i="3" s="1"/>
  <c r="F960" i="3"/>
  <c r="D962" i="3" l="1"/>
  <c r="E962" i="3" s="1"/>
  <c r="F961" i="3"/>
  <c r="D963" i="3" l="1"/>
  <c r="E963" i="3" s="1"/>
  <c r="F962" i="3"/>
  <c r="D964" i="3" l="1"/>
  <c r="E964" i="3" s="1"/>
  <c r="F963" i="3"/>
  <c r="D965" i="3" l="1"/>
  <c r="E965" i="3" s="1"/>
  <c r="F964" i="3"/>
  <c r="D966" i="3" l="1"/>
  <c r="E966" i="3" s="1"/>
  <c r="F965" i="3"/>
  <c r="D967" i="3" l="1"/>
  <c r="E967" i="3" s="1"/>
  <c r="F966" i="3"/>
  <c r="D968" i="3" l="1"/>
  <c r="E968" i="3" s="1"/>
  <c r="F967" i="3"/>
  <c r="D969" i="3" l="1"/>
  <c r="E969" i="3" s="1"/>
  <c r="F968" i="3"/>
  <c r="D970" i="3" l="1"/>
  <c r="E970" i="3" s="1"/>
  <c r="F969" i="3"/>
  <c r="D971" i="3" l="1"/>
  <c r="E971" i="3" s="1"/>
  <c r="F970" i="3"/>
  <c r="D972" i="3" l="1"/>
  <c r="E972" i="3" s="1"/>
  <c r="F971" i="3"/>
  <c r="D973" i="3" l="1"/>
  <c r="E973" i="3" s="1"/>
  <c r="F972" i="3"/>
  <c r="D974" i="3" l="1"/>
  <c r="E974" i="3" s="1"/>
  <c r="F973" i="3"/>
  <c r="D975" i="3" l="1"/>
  <c r="E975" i="3" s="1"/>
  <c r="F974" i="3"/>
  <c r="D976" i="3" l="1"/>
  <c r="E976" i="3" s="1"/>
  <c r="F975" i="3"/>
  <c r="D977" i="3" l="1"/>
  <c r="E977" i="3" s="1"/>
  <c r="F976" i="3"/>
  <c r="D978" i="3" l="1"/>
  <c r="E978" i="3" s="1"/>
  <c r="F977" i="3"/>
  <c r="D979" i="3" l="1"/>
  <c r="E979" i="3" s="1"/>
  <c r="F978" i="3"/>
  <c r="D980" i="3" l="1"/>
  <c r="E980" i="3" s="1"/>
  <c r="F979" i="3"/>
  <c r="D981" i="3" l="1"/>
  <c r="E981" i="3" s="1"/>
  <c r="F980" i="3"/>
  <c r="D982" i="3" l="1"/>
  <c r="E982" i="3" s="1"/>
  <c r="F981" i="3"/>
  <c r="D983" i="3" l="1"/>
  <c r="E983" i="3" s="1"/>
  <c r="F982" i="3"/>
  <c r="D984" i="3" l="1"/>
  <c r="E984" i="3" s="1"/>
  <c r="F983" i="3"/>
  <c r="D985" i="3" l="1"/>
  <c r="E985" i="3" s="1"/>
  <c r="F984" i="3"/>
  <c r="D986" i="3" l="1"/>
  <c r="E986" i="3" s="1"/>
  <c r="F985" i="3"/>
  <c r="D987" i="3" l="1"/>
  <c r="E987" i="3" s="1"/>
  <c r="F986" i="3"/>
  <c r="D988" i="3" l="1"/>
  <c r="E988" i="3" s="1"/>
  <c r="F987" i="3"/>
  <c r="D989" i="3" l="1"/>
  <c r="E989" i="3" s="1"/>
  <c r="F988" i="3"/>
  <c r="D990" i="3" l="1"/>
  <c r="E990" i="3" s="1"/>
  <c r="F989" i="3"/>
  <c r="D991" i="3" l="1"/>
  <c r="E991" i="3" s="1"/>
  <c r="F990" i="3"/>
  <c r="D992" i="3" l="1"/>
  <c r="E992" i="3" s="1"/>
  <c r="F991" i="3"/>
  <c r="D993" i="3" l="1"/>
  <c r="E993" i="3" s="1"/>
  <c r="F992" i="3"/>
  <c r="D994" i="3" l="1"/>
  <c r="E994" i="3" s="1"/>
  <c r="F993" i="3"/>
  <c r="D995" i="3" l="1"/>
  <c r="E995" i="3" s="1"/>
  <c r="F994" i="3"/>
  <c r="D996" i="3" l="1"/>
  <c r="E996" i="3" s="1"/>
  <c r="F995" i="3"/>
  <c r="D997" i="3" l="1"/>
  <c r="E997" i="3" s="1"/>
  <c r="F996" i="3"/>
  <c r="D998" i="3" l="1"/>
  <c r="E998" i="3" s="1"/>
  <c r="F997" i="3"/>
  <c r="D999" i="3" l="1"/>
  <c r="E999" i="3" s="1"/>
  <c r="F998" i="3"/>
  <c r="D1000" i="3" l="1"/>
  <c r="E1000" i="3" s="1"/>
  <c r="F999" i="3"/>
  <c r="D1001" i="3" l="1"/>
  <c r="E1001" i="3" s="1"/>
  <c r="F1000" i="3"/>
  <c r="D1002" i="3" l="1"/>
  <c r="E1002" i="3" s="1"/>
  <c r="F1001" i="3"/>
  <c r="D1003" i="3" l="1"/>
  <c r="E1003" i="3" s="1"/>
  <c r="F1002" i="3"/>
  <c r="D1004" i="3" l="1"/>
  <c r="E1004" i="3" s="1"/>
  <c r="F1003" i="3"/>
  <c r="D1005" i="3" l="1"/>
  <c r="E1005" i="3" s="1"/>
  <c r="F1004" i="3"/>
  <c r="D1006" i="3" l="1"/>
  <c r="E1006" i="3" s="1"/>
  <c r="F1005" i="3"/>
  <c r="D1007" i="3" l="1"/>
  <c r="E1007" i="3" s="1"/>
  <c r="F1006" i="3"/>
  <c r="D1008" i="3" l="1"/>
  <c r="E1008" i="3" s="1"/>
  <c r="F1007" i="3"/>
  <c r="D1009" i="3" l="1"/>
  <c r="E1009" i="3" s="1"/>
  <c r="F1008" i="3"/>
  <c r="D1010" i="3" l="1"/>
  <c r="E1010" i="3" s="1"/>
  <c r="F1009" i="3"/>
  <c r="D1011" i="3" l="1"/>
  <c r="E1011" i="3" s="1"/>
  <c r="F1010" i="3"/>
  <c r="D1012" i="3" l="1"/>
  <c r="E1012" i="3" s="1"/>
  <c r="F1011" i="3"/>
  <c r="D1013" i="3" l="1"/>
  <c r="E1013" i="3" s="1"/>
  <c r="F1012" i="3"/>
  <c r="D1014" i="3" l="1"/>
  <c r="E1014" i="3" s="1"/>
  <c r="F1013" i="3"/>
  <c r="D1015" i="3" l="1"/>
  <c r="E1015" i="3" s="1"/>
  <c r="F1014" i="3"/>
  <c r="D1016" i="3" l="1"/>
  <c r="E1016" i="3" s="1"/>
  <c r="F1015" i="3"/>
  <c r="D1017" i="3" l="1"/>
  <c r="E1017" i="3" s="1"/>
  <c r="F1016" i="3"/>
  <c r="D1018" i="3" l="1"/>
  <c r="E1018" i="3" s="1"/>
  <c r="F1017" i="3"/>
  <c r="D1019" i="3" l="1"/>
  <c r="E1019" i="3" s="1"/>
  <c r="F1018" i="3"/>
  <c r="D1020" i="3" l="1"/>
  <c r="E1020" i="3" s="1"/>
  <c r="F1019" i="3"/>
  <c r="D1021" i="3" l="1"/>
  <c r="E1021" i="3" s="1"/>
  <c r="F1020" i="3"/>
  <c r="D1022" i="3" l="1"/>
  <c r="E1022" i="3" s="1"/>
  <c r="F1021" i="3"/>
  <c r="D1023" i="3" l="1"/>
  <c r="E1023" i="3" s="1"/>
  <c r="F1022" i="3"/>
  <c r="D1024" i="3" l="1"/>
  <c r="E1024" i="3" s="1"/>
  <c r="F1023" i="3"/>
  <c r="D1025" i="3" l="1"/>
  <c r="E1025" i="3" s="1"/>
  <c r="F1024" i="3"/>
  <c r="D1026" i="3" l="1"/>
  <c r="E1026" i="3" s="1"/>
  <c r="F1025" i="3"/>
  <c r="D1027" i="3" l="1"/>
  <c r="E1027" i="3" s="1"/>
  <c r="F1026" i="3"/>
  <c r="D1028" i="3" l="1"/>
  <c r="E1028" i="3" s="1"/>
  <c r="F1027" i="3"/>
  <c r="D1029" i="3" l="1"/>
  <c r="E1029" i="3" s="1"/>
  <c r="F1028" i="3"/>
  <c r="D1030" i="3" l="1"/>
  <c r="E1030" i="3" s="1"/>
  <c r="F1029" i="3"/>
  <c r="D1031" i="3" l="1"/>
  <c r="E1031" i="3" s="1"/>
  <c r="F1030" i="3"/>
  <c r="D1032" i="3" l="1"/>
  <c r="E1032" i="3" s="1"/>
  <c r="F1031" i="3"/>
  <c r="D1033" i="3" l="1"/>
  <c r="E1033" i="3" s="1"/>
  <c r="F1032" i="3"/>
  <c r="D1034" i="3" l="1"/>
  <c r="E1034" i="3" s="1"/>
  <c r="F1033" i="3"/>
  <c r="D1035" i="3" l="1"/>
  <c r="E1035" i="3" s="1"/>
  <c r="F1034" i="3"/>
  <c r="D1036" i="3" l="1"/>
  <c r="E1036" i="3" s="1"/>
  <c r="F1035" i="3"/>
  <c r="D1037" i="3" l="1"/>
  <c r="E1037" i="3" s="1"/>
  <c r="F1036" i="3"/>
  <c r="D1038" i="3" l="1"/>
  <c r="E1038" i="3" s="1"/>
  <c r="F1037" i="3"/>
  <c r="D1039" i="3" l="1"/>
  <c r="E1039" i="3" s="1"/>
  <c r="F1038" i="3"/>
  <c r="D1040" i="3" l="1"/>
  <c r="E1040" i="3" s="1"/>
  <c r="F1039" i="3"/>
  <c r="D1041" i="3" l="1"/>
  <c r="E1041" i="3" s="1"/>
  <c r="F1040" i="3"/>
  <c r="D1042" i="3" l="1"/>
  <c r="E1042" i="3" s="1"/>
  <c r="F1041" i="3"/>
  <c r="D1043" i="3" l="1"/>
  <c r="E1043" i="3" s="1"/>
  <c r="F1042" i="3"/>
  <c r="D1044" i="3" l="1"/>
  <c r="E1044" i="3" s="1"/>
  <c r="F1043" i="3"/>
  <c r="D1045" i="3" l="1"/>
  <c r="E1045" i="3" s="1"/>
  <c r="F1044" i="3"/>
  <c r="D1046" i="3" l="1"/>
  <c r="E1046" i="3" s="1"/>
  <c r="F1045" i="3"/>
  <c r="D1047" i="3" l="1"/>
  <c r="E1047" i="3" s="1"/>
  <c r="F1046" i="3"/>
  <c r="D1048" i="3" l="1"/>
  <c r="E1048" i="3" s="1"/>
  <c r="F1047" i="3"/>
  <c r="D1049" i="3" l="1"/>
  <c r="E1049" i="3" s="1"/>
  <c r="F1048" i="3"/>
  <c r="D1050" i="3" l="1"/>
  <c r="E1050" i="3" s="1"/>
  <c r="F1049" i="3"/>
  <c r="D1051" i="3" l="1"/>
  <c r="E1051" i="3" s="1"/>
  <c r="F1050" i="3"/>
  <c r="D1052" i="3" l="1"/>
  <c r="E1052" i="3" s="1"/>
  <c r="F1051" i="3"/>
  <c r="D1053" i="3" l="1"/>
  <c r="E1053" i="3" s="1"/>
  <c r="F1052" i="3"/>
  <c r="D1054" i="3" l="1"/>
  <c r="E1054" i="3" s="1"/>
  <c r="F1053" i="3"/>
  <c r="D1055" i="3" l="1"/>
  <c r="E1055" i="3" s="1"/>
  <c r="F1054" i="3"/>
  <c r="D1056" i="3" l="1"/>
  <c r="E1056" i="3" s="1"/>
  <c r="F1055" i="3"/>
  <c r="D1057" i="3" l="1"/>
  <c r="E1057" i="3" s="1"/>
  <c r="F1056" i="3"/>
  <c r="D1058" i="3" l="1"/>
  <c r="E1058" i="3" s="1"/>
  <c r="F1057" i="3"/>
  <c r="D1059" i="3" l="1"/>
  <c r="E1059" i="3" s="1"/>
  <c r="F1058" i="3"/>
  <c r="D1060" i="3" l="1"/>
  <c r="E1060" i="3" s="1"/>
  <c r="F1059" i="3"/>
  <c r="D1061" i="3" l="1"/>
  <c r="E1061" i="3" s="1"/>
  <c r="F1060" i="3"/>
  <c r="D1062" i="3" l="1"/>
  <c r="E1062" i="3" s="1"/>
  <c r="F1061" i="3"/>
  <c r="D1063" i="3" l="1"/>
  <c r="E1063" i="3" s="1"/>
  <c r="F1062" i="3"/>
  <c r="D1064" i="3" l="1"/>
  <c r="E1064" i="3" s="1"/>
  <c r="F1063" i="3"/>
  <c r="D1065" i="3" l="1"/>
  <c r="E1065" i="3" s="1"/>
  <c r="F1064" i="3"/>
  <c r="D1066" i="3" l="1"/>
  <c r="E1066" i="3" s="1"/>
  <c r="F1065" i="3"/>
  <c r="D1067" i="3" l="1"/>
  <c r="E1067" i="3" s="1"/>
  <c r="F1066" i="3"/>
  <c r="D1068" i="3" l="1"/>
  <c r="E1068" i="3" s="1"/>
  <c r="F1067" i="3"/>
  <c r="D1069" i="3" l="1"/>
  <c r="E1069" i="3" s="1"/>
  <c r="F1068" i="3"/>
  <c r="D1070" i="3" l="1"/>
  <c r="E1070" i="3" s="1"/>
  <c r="F1069" i="3"/>
  <c r="D1071" i="3" l="1"/>
  <c r="E1071" i="3" s="1"/>
  <c r="F1070" i="3"/>
  <c r="D1072" i="3" l="1"/>
  <c r="E1072" i="3" s="1"/>
  <c r="F1071" i="3"/>
  <c r="D1073" i="3" l="1"/>
  <c r="E1073" i="3" s="1"/>
  <c r="F1072" i="3"/>
  <c r="D1074" i="3" l="1"/>
  <c r="E1074" i="3" s="1"/>
  <c r="F1073" i="3"/>
  <c r="D1075" i="3" l="1"/>
  <c r="E1075" i="3" s="1"/>
  <c r="F1074" i="3"/>
  <c r="D1076" i="3" l="1"/>
  <c r="E1076" i="3" s="1"/>
  <c r="F1075" i="3"/>
  <c r="D1077" i="3" l="1"/>
  <c r="E1077" i="3" s="1"/>
  <c r="F1076" i="3"/>
  <c r="D1078" i="3" l="1"/>
  <c r="E1078" i="3" s="1"/>
  <c r="F1077" i="3"/>
  <c r="D1079" i="3" l="1"/>
  <c r="E1079" i="3" s="1"/>
  <c r="F1078" i="3"/>
  <c r="D1080" i="3" l="1"/>
  <c r="E1080" i="3" s="1"/>
  <c r="F1079" i="3"/>
  <c r="D1081" i="3" l="1"/>
  <c r="E1081" i="3" s="1"/>
  <c r="F1080" i="3"/>
  <c r="D1082" i="3" l="1"/>
  <c r="E1082" i="3" s="1"/>
  <c r="F1081" i="3"/>
  <c r="D1083" i="3" l="1"/>
  <c r="E1083" i="3" s="1"/>
  <c r="F1082" i="3"/>
  <c r="D1084" i="3" l="1"/>
  <c r="E1084" i="3" s="1"/>
  <c r="F1083" i="3"/>
  <c r="D1085" i="3" l="1"/>
  <c r="E1085" i="3" s="1"/>
  <c r="F1084" i="3"/>
  <c r="D1086" i="3" l="1"/>
  <c r="E1086" i="3" s="1"/>
  <c r="F1085" i="3"/>
  <c r="D1087" i="3" l="1"/>
  <c r="E1087" i="3" s="1"/>
  <c r="F1086" i="3"/>
  <c r="D1088" i="3" l="1"/>
  <c r="E1088" i="3" s="1"/>
  <c r="F1087" i="3"/>
  <c r="D1089" i="3" l="1"/>
  <c r="E1089" i="3" s="1"/>
  <c r="F1088" i="3"/>
  <c r="D1090" i="3" l="1"/>
  <c r="E1090" i="3" s="1"/>
  <c r="F1089" i="3"/>
  <c r="D1091" i="3" l="1"/>
  <c r="E1091" i="3" s="1"/>
  <c r="F1090" i="3"/>
  <c r="D1092" i="3" l="1"/>
  <c r="E1092" i="3" s="1"/>
  <c r="F1091" i="3"/>
  <c r="D1093" i="3" l="1"/>
  <c r="E1093" i="3" s="1"/>
  <c r="F1092" i="3"/>
  <c r="D1094" i="3" l="1"/>
  <c r="E1094" i="3" s="1"/>
  <c r="F1093" i="3"/>
  <c r="D1095" i="3" l="1"/>
  <c r="E1095" i="3" s="1"/>
  <c r="F1094" i="3"/>
  <c r="D1096" i="3" l="1"/>
  <c r="E1096" i="3" s="1"/>
  <c r="F1095" i="3"/>
  <c r="D1097" i="3" l="1"/>
  <c r="E1097" i="3" s="1"/>
  <c r="F1096" i="3"/>
  <c r="D1098" i="3" l="1"/>
  <c r="E1098" i="3" s="1"/>
  <c r="F1097" i="3"/>
  <c r="D1099" i="3" l="1"/>
  <c r="E1099" i="3" s="1"/>
  <c r="F1098" i="3"/>
  <c r="D1100" i="3" l="1"/>
  <c r="E1100" i="3" s="1"/>
  <c r="F1099" i="3"/>
  <c r="D1101" i="3" l="1"/>
  <c r="E1101" i="3" s="1"/>
  <c r="F1100" i="3"/>
  <c r="D1102" i="3" l="1"/>
  <c r="E1102" i="3" s="1"/>
  <c r="F1101" i="3"/>
  <c r="D1103" i="3" l="1"/>
  <c r="E1103" i="3" s="1"/>
  <c r="F1102" i="3"/>
  <c r="D1104" i="3" l="1"/>
  <c r="E1104" i="3" s="1"/>
  <c r="F1103" i="3"/>
  <c r="D1105" i="3" l="1"/>
  <c r="E1105" i="3" s="1"/>
  <c r="F1104" i="3"/>
  <c r="D1106" i="3" l="1"/>
  <c r="E1106" i="3" s="1"/>
  <c r="F1105" i="3"/>
  <c r="D1107" i="3" l="1"/>
  <c r="E1107" i="3" s="1"/>
  <c r="F1106" i="3"/>
  <c r="D1108" i="3" l="1"/>
  <c r="E1108" i="3" s="1"/>
  <c r="F1107" i="3"/>
  <c r="D1109" i="3" l="1"/>
  <c r="E1109" i="3" s="1"/>
  <c r="F1108" i="3"/>
  <c r="D1110" i="3" l="1"/>
  <c r="E1110" i="3" s="1"/>
  <c r="F1109" i="3"/>
  <c r="D1111" i="3" l="1"/>
  <c r="E1111" i="3" s="1"/>
  <c r="F1110" i="3"/>
  <c r="D1112" i="3" l="1"/>
  <c r="E1112" i="3" s="1"/>
  <c r="F1111" i="3"/>
  <c r="D1113" i="3" l="1"/>
  <c r="E1113" i="3" s="1"/>
  <c r="F1112" i="3"/>
  <c r="D1114" i="3" l="1"/>
  <c r="E1114" i="3" s="1"/>
  <c r="F1113" i="3"/>
  <c r="D1115" i="3" l="1"/>
  <c r="E1115" i="3" s="1"/>
  <c r="F1114" i="3"/>
  <c r="D1116" i="3" l="1"/>
  <c r="E1116" i="3" s="1"/>
  <c r="F1115" i="3"/>
  <c r="D1117" i="3" l="1"/>
  <c r="E1117" i="3" s="1"/>
  <c r="F1116" i="3"/>
  <c r="D1118" i="3" l="1"/>
  <c r="E1118" i="3" s="1"/>
  <c r="F1117" i="3"/>
  <c r="D1119" i="3" l="1"/>
  <c r="E1119" i="3" s="1"/>
  <c r="F1118" i="3"/>
  <c r="D1120" i="3" l="1"/>
  <c r="E1120" i="3" s="1"/>
  <c r="F1119" i="3"/>
  <c r="D1121" i="3" l="1"/>
  <c r="E1121" i="3" s="1"/>
  <c r="F1120" i="3"/>
  <c r="D1122" i="3" l="1"/>
  <c r="E1122" i="3" s="1"/>
  <c r="F1121" i="3"/>
  <c r="D1123" i="3" l="1"/>
  <c r="E1123" i="3" s="1"/>
  <c r="F1122" i="3"/>
  <c r="D1124" i="3" l="1"/>
  <c r="E1124" i="3" s="1"/>
  <c r="F1123" i="3"/>
  <c r="D1125" i="3" l="1"/>
  <c r="E1125" i="3" s="1"/>
  <c r="F1124" i="3"/>
  <c r="D1126" i="3" l="1"/>
  <c r="E1126" i="3" s="1"/>
  <c r="F1125" i="3"/>
  <c r="D1127" i="3" l="1"/>
  <c r="E1127" i="3" s="1"/>
  <c r="F1126" i="3"/>
  <c r="D1128" i="3" l="1"/>
  <c r="E1128" i="3" s="1"/>
  <c r="F1127" i="3"/>
  <c r="D1129" i="3" l="1"/>
  <c r="E1129" i="3" s="1"/>
  <c r="F1128" i="3"/>
  <c r="D1130" i="3" l="1"/>
  <c r="E1130" i="3" s="1"/>
  <c r="F1129" i="3"/>
  <c r="D1131" i="3" l="1"/>
  <c r="E1131" i="3" s="1"/>
  <c r="F1130" i="3"/>
  <c r="D1132" i="3" l="1"/>
  <c r="E1132" i="3" s="1"/>
  <c r="F1131" i="3"/>
  <c r="D1133" i="3" l="1"/>
  <c r="E1133" i="3" s="1"/>
  <c r="F1132" i="3"/>
  <c r="D1134" i="3" l="1"/>
  <c r="E1134" i="3" s="1"/>
  <c r="F1133" i="3"/>
  <c r="D1135" i="3" l="1"/>
  <c r="E1135" i="3" s="1"/>
  <c r="F1134" i="3"/>
  <c r="D1136" i="3" l="1"/>
  <c r="E1136" i="3" s="1"/>
  <c r="F1135" i="3"/>
  <c r="D1137" i="3" l="1"/>
  <c r="E1137" i="3" s="1"/>
  <c r="F1136" i="3"/>
  <c r="D1138" i="3" l="1"/>
  <c r="E1138" i="3" s="1"/>
  <c r="F1137" i="3"/>
  <c r="D1139" i="3" l="1"/>
  <c r="E1139" i="3" s="1"/>
  <c r="F1138" i="3"/>
  <c r="D1140" i="3" l="1"/>
  <c r="E1140" i="3" s="1"/>
  <c r="F1139" i="3"/>
  <c r="D1141" i="3" l="1"/>
  <c r="E1141" i="3" s="1"/>
  <c r="F1140" i="3"/>
  <c r="D1142" i="3" l="1"/>
  <c r="E1142" i="3" s="1"/>
  <c r="F1141" i="3"/>
  <c r="D1143" i="3" l="1"/>
  <c r="E1143" i="3" s="1"/>
  <c r="F1142" i="3"/>
  <c r="D1144" i="3" l="1"/>
  <c r="E1144" i="3" s="1"/>
  <c r="F1143" i="3"/>
  <c r="D1145" i="3" l="1"/>
  <c r="E1145" i="3" s="1"/>
  <c r="F1144" i="3"/>
  <c r="D1146" i="3" l="1"/>
  <c r="E1146" i="3" s="1"/>
  <c r="F1145" i="3"/>
  <c r="D1147" i="3" l="1"/>
  <c r="E1147" i="3" s="1"/>
  <c r="F1146" i="3"/>
  <c r="D1148" i="3" l="1"/>
  <c r="E1148" i="3" s="1"/>
  <c r="F1147" i="3"/>
  <c r="D1149" i="3" l="1"/>
  <c r="E1149" i="3" s="1"/>
  <c r="F1148" i="3"/>
  <c r="D1150" i="3" l="1"/>
  <c r="E1150" i="3" s="1"/>
  <c r="F1149" i="3"/>
  <c r="D1151" i="3" l="1"/>
  <c r="E1151" i="3" s="1"/>
  <c r="F1150" i="3"/>
  <c r="D1152" i="3" l="1"/>
  <c r="E1152" i="3" s="1"/>
  <c r="F1151" i="3"/>
  <c r="D1153" i="3" l="1"/>
  <c r="E1153" i="3" s="1"/>
  <c r="F1152" i="3"/>
  <c r="D1154" i="3" l="1"/>
  <c r="E1154" i="3" s="1"/>
  <c r="F1153" i="3"/>
  <c r="D1155" i="3" l="1"/>
  <c r="E1155" i="3" s="1"/>
  <c r="F1154" i="3"/>
  <c r="D1156" i="3" l="1"/>
  <c r="E1156" i="3" s="1"/>
  <c r="F1155" i="3"/>
  <c r="D1157" i="3" l="1"/>
  <c r="E1157" i="3" s="1"/>
  <c r="F1156" i="3"/>
  <c r="D1158" i="3" l="1"/>
  <c r="E1158" i="3" s="1"/>
  <c r="F1157" i="3"/>
  <c r="D1159" i="3" l="1"/>
  <c r="E1159" i="3" s="1"/>
  <c r="F1158" i="3"/>
  <c r="D1160" i="3" l="1"/>
  <c r="E1160" i="3" s="1"/>
  <c r="F1159" i="3"/>
  <c r="D1161" i="3" l="1"/>
  <c r="E1161" i="3" s="1"/>
  <c r="F1160" i="3"/>
  <c r="D1162" i="3" l="1"/>
  <c r="E1162" i="3" s="1"/>
  <c r="F1161" i="3"/>
  <c r="D1163" i="3" l="1"/>
  <c r="E1163" i="3" s="1"/>
  <c r="F1162" i="3"/>
  <c r="D1164" i="3" l="1"/>
  <c r="E1164" i="3" s="1"/>
  <c r="F1163" i="3"/>
  <c r="D1165" i="3" l="1"/>
  <c r="E1165" i="3" s="1"/>
  <c r="F1164" i="3"/>
  <c r="D1166" i="3" l="1"/>
  <c r="E1166" i="3" s="1"/>
  <c r="F1165" i="3"/>
  <c r="D1167" i="3" l="1"/>
  <c r="E1167" i="3" s="1"/>
  <c r="F1166" i="3"/>
  <c r="D1168" i="3" l="1"/>
  <c r="E1168" i="3" s="1"/>
  <c r="F1167" i="3"/>
  <c r="D1169" i="3" l="1"/>
  <c r="E1169" i="3" s="1"/>
  <c r="F1168" i="3"/>
  <c r="D1170" i="3" l="1"/>
  <c r="E1170" i="3" s="1"/>
  <c r="F1169" i="3"/>
  <c r="D1171" i="3" l="1"/>
  <c r="E1171" i="3" s="1"/>
  <c r="F1170" i="3"/>
  <c r="D1172" i="3" l="1"/>
  <c r="E1172" i="3" s="1"/>
  <c r="F1171" i="3"/>
  <c r="D1173" i="3" l="1"/>
  <c r="E1173" i="3" s="1"/>
  <c r="F1172" i="3"/>
  <c r="D1174" i="3" l="1"/>
  <c r="E1174" i="3" s="1"/>
  <c r="F1173" i="3"/>
  <c r="D1175" i="3" l="1"/>
  <c r="E1175" i="3" s="1"/>
  <c r="F1174" i="3"/>
  <c r="D1176" i="3" l="1"/>
  <c r="E1176" i="3" s="1"/>
  <c r="F1175" i="3"/>
  <c r="D1177" i="3" l="1"/>
  <c r="E1177" i="3" s="1"/>
  <c r="F1176" i="3"/>
  <c r="D1178" i="3" l="1"/>
  <c r="E1178" i="3" s="1"/>
  <c r="F1177" i="3"/>
  <c r="D1179" i="3" l="1"/>
  <c r="E1179" i="3" s="1"/>
  <c r="F1178" i="3"/>
  <c r="D1180" i="3" l="1"/>
  <c r="E1180" i="3" s="1"/>
  <c r="F1179" i="3"/>
  <c r="D1181" i="3" l="1"/>
  <c r="E1181" i="3" s="1"/>
  <c r="F1180" i="3"/>
  <c r="D1182" i="3" l="1"/>
  <c r="E1182" i="3" s="1"/>
  <c r="F1181" i="3"/>
  <c r="D1183" i="3" l="1"/>
  <c r="E1183" i="3" s="1"/>
  <c r="F1182" i="3"/>
  <c r="D1184" i="3" l="1"/>
  <c r="E1184" i="3" s="1"/>
  <c r="F1183" i="3"/>
  <c r="D1185" i="3" l="1"/>
  <c r="E1185" i="3" s="1"/>
  <c r="F1184" i="3"/>
  <c r="D1186" i="3" l="1"/>
  <c r="E1186" i="3" s="1"/>
  <c r="F1185" i="3"/>
  <c r="D1187" i="3" l="1"/>
  <c r="E1187" i="3" s="1"/>
  <c r="F1186" i="3"/>
  <c r="D1188" i="3" l="1"/>
  <c r="E1188" i="3" s="1"/>
  <c r="F1187" i="3"/>
  <c r="D1189" i="3" l="1"/>
  <c r="E1189" i="3" s="1"/>
  <c r="F1188" i="3"/>
  <c r="D1190" i="3" l="1"/>
  <c r="E1190" i="3" s="1"/>
  <c r="F1189" i="3"/>
  <c r="D1191" i="3" l="1"/>
  <c r="E1191" i="3" s="1"/>
  <c r="F1190" i="3"/>
  <c r="D1192" i="3" l="1"/>
  <c r="E1192" i="3" s="1"/>
  <c r="F1191" i="3"/>
  <c r="D1193" i="3" l="1"/>
  <c r="E1193" i="3" s="1"/>
  <c r="F1192" i="3"/>
  <c r="D1194" i="3" l="1"/>
  <c r="E1194" i="3" s="1"/>
  <c r="F1193" i="3"/>
  <c r="D1195" i="3" l="1"/>
  <c r="E1195" i="3" s="1"/>
  <c r="F1194" i="3"/>
  <c r="D1196" i="3" l="1"/>
  <c r="E1196" i="3" s="1"/>
  <c r="F1195" i="3"/>
  <c r="D1197" i="3" l="1"/>
  <c r="E1197" i="3" s="1"/>
  <c r="F1196" i="3"/>
  <c r="D1198" i="3" l="1"/>
  <c r="E1198" i="3" s="1"/>
  <c r="F1197" i="3"/>
  <c r="D1199" i="3" l="1"/>
  <c r="E1199" i="3" s="1"/>
  <c r="F1198" i="3"/>
  <c r="D1200" i="3" l="1"/>
  <c r="E1200" i="3" s="1"/>
  <c r="F1199" i="3"/>
  <c r="D1201" i="3" l="1"/>
  <c r="E1201" i="3" s="1"/>
  <c r="F1200" i="3"/>
  <c r="D1202" i="3" l="1"/>
  <c r="E1202" i="3" s="1"/>
  <c r="F1202" i="3" s="1"/>
  <c r="F1201" i="3"/>
</calcChain>
</file>

<file path=xl/sharedStrings.xml><?xml version="1.0" encoding="utf-8"?>
<sst xmlns="http://schemas.openxmlformats.org/spreadsheetml/2006/main" count="61" uniqueCount="47">
  <si>
    <t>Free Volume</t>
  </si>
  <si>
    <t>m^3</t>
  </si>
  <si>
    <t>Total gas generation</t>
  </si>
  <si>
    <t>Tijd (s)</t>
  </si>
  <si>
    <t>Kloktijd (min:sec)</t>
  </si>
  <si>
    <t>H2_Generatie (m3/s)</t>
  </si>
  <si>
    <t xml:space="preserve">H2 </t>
  </si>
  <si>
    <t>%</t>
  </si>
  <si>
    <t>H2_Flow_LPM</t>
  </si>
  <si>
    <t>H2_Generatie (m3/s) scaled</t>
  </si>
  <si>
    <t>total m^3</t>
  </si>
  <si>
    <t>scale</t>
  </si>
  <si>
    <t>scaled total</t>
  </si>
  <si>
    <t>total H2 in container after venting</t>
  </si>
  <si>
    <t>Total H2 after venting</t>
  </si>
  <si>
    <t>P1</t>
  </si>
  <si>
    <t>Pa</t>
  </si>
  <si>
    <t>V1</t>
  </si>
  <si>
    <t>V2</t>
  </si>
  <si>
    <t>P2</t>
  </si>
  <si>
    <t>delta P</t>
  </si>
  <si>
    <t xml:space="preserve">1% hydrogen in container </t>
  </si>
  <si>
    <t xml:space="preserve">totally H2 vented </t>
  </si>
  <si>
    <t>Time</t>
  </si>
  <si>
    <t>H2 Generation</t>
  </si>
  <si>
    <t>H2 Generated</t>
  </si>
  <si>
    <t>H2 Removed</t>
  </si>
  <si>
    <t>H2 container</t>
  </si>
  <si>
    <t xml:space="preserve">H2 Concentration </t>
  </si>
  <si>
    <t xml:space="preserve">Container volume </t>
  </si>
  <si>
    <t>Ventilation Flow</t>
  </si>
  <si>
    <t>m^3/s</t>
  </si>
  <si>
    <t>Max H2</t>
  </si>
  <si>
    <t>dt</t>
  </si>
  <si>
    <t>s</t>
  </si>
  <si>
    <t>air density</t>
  </si>
  <si>
    <t>kg/m^3</t>
  </si>
  <si>
    <t>pressure dif</t>
  </si>
  <si>
    <t>number of vents</t>
  </si>
  <si>
    <t>Vent Area</t>
  </si>
  <si>
    <t>Cd</t>
  </si>
  <si>
    <t>m^2</t>
  </si>
  <si>
    <t>hole diameter</t>
  </si>
  <si>
    <t>m</t>
  </si>
  <si>
    <t>Pressure Pa</t>
  </si>
  <si>
    <t>Patm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</si>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</sst>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0.0000000000"/>
    <numFmt numFmtId="179" formatCode="0.000000000000000000"/>
    <numFmt numFmtId="180" formatCode="0.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6" fontId="0" fillId="0" borderId="0" xfId="0" applyNumberFormat="1"/>
    <xf numFmtId="171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Blad2!$D$1</c:f>
              <c:strCache>
                <c:ptCount val="1"/>
                <c:pt idx="0">
                  <c:v>H2_Generatie (m3/s)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Blad2!$D$2:$D$1202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2.6848545057899198E-4</c:v>
                </c:pt>
                <c:pt idx="214">
                  <c:v>3.27444691120688E-4</c:v>
                </c:pt>
                <c:pt idx="215">
                  <c:v>3.9088826667822002E-4</c:v>
                </c:pt>
                <c:pt idx="216">
                  <c:v>4.5833333333334297E-4</c:v>
                </c:pt>
                <c:pt idx="217">
                  <c:v>5.2926659340436495E-4</c:v>
                </c:pt>
                <c:pt idx="218">
                  <c:v>6.03148201951472E-4</c:v>
                </c:pt>
                <c:pt idx="219">
                  <c:v>6.7941587532268602E-4</c:v>
                </c:pt>
                <c:pt idx="220">
                  <c:v>7.5748917047197299E-4</c:v>
                </c:pt>
                <c:pt idx="221">
                  <c:v>8.3677390248130103E-4</c:v>
                </c:pt>
                <c:pt idx="222">
                  <c:v>9.1666666666668302E-4</c:v>
                </c:pt>
                <c:pt idx="223">
                  <c:v>9.9655943085203195E-4</c:v>
                </c:pt>
                <c:pt idx="224">
                  <c:v>1.0758441628613499E-3</c:v>
                </c:pt>
                <c:pt idx="225">
                  <c:v>1.15391745801064E-3</c:v>
                </c:pt>
                <c:pt idx="226">
                  <c:v>1.23018513138186E-3</c:v>
                </c:pt>
                <c:pt idx="227">
                  <c:v>1.3040667399289599E-3</c:v>
                </c:pt>
                <c:pt idx="228">
                  <c:v>1.3749999999999899E-3</c:v>
                </c:pt>
                <c:pt idx="229">
                  <c:v>1.4424450666551401E-3</c:v>
                </c:pt>
                <c:pt idx="230">
                  <c:v>1.5058886422126699E-3</c:v>
                </c:pt>
                <c:pt idx="231">
                  <c:v>1.56484788275434E-3</c:v>
                </c:pt>
                <c:pt idx="232">
                  <c:v>1.6188740728590599E-3</c:v>
                </c:pt>
                <c:pt idx="233">
                  <c:v>1.66755604059824E-3</c:v>
                </c:pt>
                <c:pt idx="234">
                  <c:v>1.71052328680239E-3</c:v>
                </c:pt>
                <c:pt idx="235">
                  <c:v>1.74744880478359E-3</c:v>
                </c:pt>
                <c:pt idx="236">
                  <c:v>1.77805156905374E-3</c:v>
                </c:pt>
                <c:pt idx="237">
                  <c:v>1.80209867409831E-3</c:v>
                </c:pt>
                <c:pt idx="238">
                  <c:v>1.8194071069278499E-3</c:v>
                </c:pt>
                <c:pt idx="239">
                  <c:v>1.8298451399174299E-3</c:v>
                </c:pt>
                <c:pt idx="240">
                  <c:v>1.83333333333333E-3</c:v>
                </c:pt>
                <c:pt idx="241">
                  <c:v>1.83013777229815E-3</c:v>
                </c:pt>
                <c:pt idx="242">
                  <c:v>1.8205861004280499E-3</c:v>
                </c:pt>
                <c:pt idx="243">
                  <c:v>1.8047829678388401E-3</c:v>
                </c:pt>
                <c:pt idx="244">
                  <c:v>1.78290151695817E-3</c:v>
                </c:pt>
                <c:pt idx="245">
                  <c:v>1.75518148554091E-3</c:v>
                </c:pt>
                <c:pt idx="246">
                  <c:v>1.72192658005204E-3</c:v>
                </c:pt>
                <c:pt idx="247">
                  <c:v>1.68350114819514E-3</c:v>
                </c:pt>
                <c:pt idx="248">
                  <c:v>1.6403261870426599E-3</c:v>
                </c:pt>
                <c:pt idx="249">
                  <c:v>1.5928747305039401E-3</c:v>
                </c:pt>
                <c:pt idx="250">
                  <c:v>1.5416666666666699E-3</c:v>
                </c:pt>
                <c:pt idx="251">
                  <c:v>1.4872630417942199E-3</c:v>
                </c:pt>
                <c:pt idx="252">
                  <c:v>1.4302599133853701E-3</c:v>
                </c:pt>
                <c:pt idx="253">
                  <c:v>1.37128181964368E-3</c:v>
                </c:pt>
                <c:pt idx="254">
                  <c:v>1.3109749369061201E-3</c:v>
                </c:pt>
                <c:pt idx="255">
                  <c:v>1.25E-3</c:v>
                </c:pt>
                <c:pt idx="256">
                  <c:v>1.18902506309387E-3</c:v>
                </c:pt>
                <c:pt idx="257">
                  <c:v>1.1287181803563101E-3</c:v>
                </c:pt>
                <c:pt idx="258">
                  <c:v>1.06974008661462E-3</c:v>
                </c:pt>
                <c:pt idx="259">
                  <c:v>1.0127369582057699E-3</c:v>
                </c:pt>
                <c:pt idx="260">
                  <c:v>9.5833333333332504E-4</c:v>
                </c:pt>
                <c:pt idx="261">
                  <c:v>9.0712526949605302E-4</c:v>
                </c:pt>
                <c:pt idx="262">
                  <c:v>8.5967381295733105E-4</c:v>
                </c:pt>
                <c:pt idx="263">
                  <c:v>8.16498851804854E-4</c:v>
                </c:pt>
                <c:pt idx="264">
                  <c:v>7.7807341994795001E-4</c:v>
                </c:pt>
                <c:pt idx="265">
                  <c:v>7.4481851445908098E-4</c:v>
                </c:pt>
                <c:pt idx="266">
                  <c:v>7.1709848304182095E-4</c:v>
                </c:pt>
                <c:pt idx="267">
                  <c:v>6.9521703216115702E-4</c:v>
                </c:pt>
                <c:pt idx="268">
                  <c:v>6.7941389957194495E-4</c:v>
                </c:pt>
                <c:pt idx="269">
                  <c:v>6.6986222770184004E-4</c:v>
                </c:pt>
                <c:pt idx="270">
                  <c:v>6.6666666666666599E-4</c:v>
                </c:pt>
                <c:pt idx="271">
                  <c:v>6.6745943789755298E-4</c:v>
                </c:pt>
                <c:pt idx="272">
                  <c:v>6.69831718122456E-4</c:v>
                </c:pt>
                <c:pt idx="273">
                  <c:v>6.7376545285644299E-4</c:v>
                </c:pt>
                <c:pt idx="274">
                  <c:v>6.7923070400293599E-4</c:v>
                </c:pt>
                <c:pt idx="275">
                  <c:v>6.86185877700698E-4</c:v>
                </c:pt>
                <c:pt idx="276">
                  <c:v>6.9457804087824204E-4</c:v>
                </c:pt>
                <c:pt idx="277">
                  <c:v>7.0434332410645995E-4</c:v>
                </c:pt>
                <c:pt idx="278">
                  <c:v>7.1540740768354495E-4</c:v>
                </c:pt>
                <c:pt idx="279">
                  <c:v>7.2768608725280097E-4</c:v>
                </c:pt>
                <c:pt idx="280">
                  <c:v>7.4108591464863499E-4</c:v>
                </c:pt>
                <c:pt idx="281">
                  <c:v>7.5550490909352805E-4</c:v>
                </c:pt>
                <c:pt idx="282">
                  <c:v>7.7083333333333496E-4</c:v>
                </c:pt>
                <c:pt idx="283">
                  <c:v>7.8695452880402203E-4</c:v>
                </c:pt>
                <c:pt idx="284">
                  <c:v>8.0374580347381897E-4</c:v>
                </c:pt>
                <c:pt idx="285">
                  <c:v>8.2107936560364095E-4</c:v>
                </c:pt>
                <c:pt idx="286">
                  <c:v>8.3882329631938704E-4</c:v>
                </c:pt>
                <c:pt idx="287">
                  <c:v>8.5684255359423504E-4</c:v>
                </c:pt>
                <c:pt idx="288">
                  <c:v>8.7499999999999601E-4</c:v>
                </c:pt>
                <c:pt idx="289">
                  <c:v>8.9315744640576403E-4</c:v>
                </c:pt>
                <c:pt idx="290">
                  <c:v>9.1117670368061202E-4</c:v>
                </c:pt>
                <c:pt idx="291">
                  <c:v>9.2892063439635898E-4</c:v>
                </c:pt>
                <c:pt idx="292">
                  <c:v>9.4625419652617998E-4</c:v>
                </c:pt>
                <c:pt idx="293">
                  <c:v>9.6304547119597703E-4</c:v>
                </c:pt>
                <c:pt idx="294">
                  <c:v>9.7916666666666399E-4</c:v>
                </c:pt>
                <c:pt idx="295">
                  <c:v>9.9449509090646397E-4</c:v>
                </c:pt>
                <c:pt idx="296">
                  <c:v>1.00891408535135E-3</c:v>
                </c:pt>
                <c:pt idx="297">
                  <c:v>1.0223139127471901E-3</c:v>
                </c:pt>
                <c:pt idx="298">
                  <c:v>1.03459259231645E-3</c:v>
                </c:pt>
                <c:pt idx="299">
                  <c:v>1.04565667589353E-3</c:v>
                </c:pt>
                <c:pt idx="300">
                  <c:v>1.0554219591217501E-3</c:v>
                </c:pt>
                <c:pt idx="301">
                  <c:v>1.0638141222993E-3</c:v>
                </c:pt>
                <c:pt idx="302">
                  <c:v>1.07076929599706E-3</c:v>
                </c:pt>
                <c:pt idx="303">
                  <c:v>1.07623454714355E-3</c:v>
                </c:pt>
                <c:pt idx="304">
                  <c:v>1.08016828187754E-3</c:v>
                </c:pt>
                <c:pt idx="305">
                  <c:v>1.08254056210244E-3</c:v>
                </c:pt>
                <c:pt idx="306">
                  <c:v>1.08333333333333E-3</c:v>
                </c:pt>
                <c:pt idx="307">
                  <c:v>1.08271980872412E-3</c:v>
                </c:pt>
                <c:pt idx="308">
                  <c:v>1.08088062472708E-3</c:v>
                </c:pt>
                <c:pt idx="309">
                  <c:v>1.0778199476855E-3</c:v>
                </c:pt>
                <c:pt idx="310">
                  <c:v>1.0735447110173E-3</c:v>
                </c:pt>
                <c:pt idx="311">
                  <c:v>1.06806459950858E-3</c:v>
                </c:pt>
                <c:pt idx="312">
                  <c:v>1.06139202737451E-3</c:v>
                </c:pt>
                <c:pt idx="313">
                  <c:v>1.0535421101371099E-3</c:v>
                </c:pt>
                <c:pt idx="314">
                  <c:v>1.0445326303837E-3</c:v>
                </c:pt>
                <c:pt idx="315">
                  <c:v>1.0343839974836901E-3</c:v>
                </c:pt>
                <c:pt idx="316">
                  <c:v>1.02311920135475E-3</c:v>
                </c:pt>
                <c:pt idx="317">
                  <c:v>1.0107637603832399E-3</c:v>
                </c:pt>
                <c:pt idx="318">
                  <c:v>9.9734566361689295E-4</c:v>
                </c:pt>
                <c:pt idx="319">
                  <c:v>9.8289530736059695E-4</c:v>
                </c:pt>
                <c:pt idx="320">
                  <c:v>9.67445426319009E-4</c:v>
                </c:pt>
                <c:pt idx="321">
                  <c:v>9.5103101944189002E-4</c:v>
                </c:pt>
                <c:pt idx="322">
                  <c:v>9.33689270640247E-4</c:v>
                </c:pt>
                <c:pt idx="323">
                  <c:v>9.1545946455281297E-4</c:v>
                </c:pt>
                <c:pt idx="324">
                  <c:v>8.9638289755369905E-4</c:v>
                </c:pt>
                <c:pt idx="325">
                  <c:v>8.7650278420283204E-4</c:v>
                </c:pt>
                <c:pt idx="326">
                  <c:v>8.5586415935107196E-4</c:v>
                </c:pt>
                <c:pt idx="327">
                  <c:v>8.3451377612177996E-4</c:v>
                </c:pt>
                <c:pt idx="328">
                  <c:v>8.1249999999999996E-4</c:v>
                </c:pt>
                <c:pt idx="329">
                  <c:v>7.8987269926901504E-4</c:v>
                </c:pt>
                <c:pt idx="330">
                  <c:v>7.6668313204269101E-4</c:v>
                </c:pt>
                <c:pt idx="331">
                  <c:v>7.4298383014934804E-4</c:v>
                </c:pt>
                <c:pt idx="332">
                  <c:v>7.1882848013027497E-4</c:v>
                </c:pt>
                <c:pt idx="333">
                  <c:v>6.9427180162244799E-4</c:v>
                </c:pt>
                <c:pt idx="334">
                  <c:v>6.6936942340093699E-4</c:v>
                </c:pt>
                <c:pt idx="335">
                  <c:v>6.4417775736188795E-4</c:v>
                </c:pt>
                <c:pt idx="336">
                  <c:v>6.1875387073136298E-4</c:v>
                </c:pt>
                <c:pt idx="337">
                  <c:v>5.9315535678976803E-4</c:v>
                </c:pt>
                <c:pt idx="338">
                  <c:v>5.6744020440453095E-4</c:v>
                </c:pt>
                <c:pt idx="339">
                  <c:v>5.4166666666667195E-4</c:v>
                </c:pt>
                <c:pt idx="340">
                  <c:v>5.1589312892881295E-4</c:v>
                </c:pt>
                <c:pt idx="341">
                  <c:v>4.9017797654357599E-4</c:v>
                </c:pt>
                <c:pt idx="342">
                  <c:v>4.64579462601969E-4</c:v>
                </c:pt>
                <c:pt idx="343">
                  <c:v>4.3915557597144501E-4</c:v>
                </c:pt>
                <c:pt idx="344">
                  <c:v>4.13963909932395E-4</c:v>
                </c:pt>
                <c:pt idx="345">
                  <c:v>3.8906153171089499E-4</c:v>
                </c:pt>
                <c:pt idx="346">
                  <c:v>3.6450485320306802E-4</c:v>
                </c:pt>
                <c:pt idx="347">
                  <c:v>3.40349503183995E-4</c:v>
                </c:pt>
                <c:pt idx="348">
                  <c:v>3.1665020129065198E-4</c:v>
                </c:pt>
                <c:pt idx="349">
                  <c:v>2.9346063406431798E-4</c:v>
                </c:pt>
                <c:pt idx="350">
                  <c:v>2.70833333333333E-4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2.7560040989976298E-4</c:v>
                </c:pt>
                <c:pt idx="452">
                  <c:v>3.0196011698041401E-4</c:v>
                </c:pt>
                <c:pt idx="453">
                  <c:v>3.28989928337157E-4</c:v>
                </c:pt>
                <c:pt idx="454">
                  <c:v>3.5659838364445601E-4</c:v>
                </c:pt>
                <c:pt idx="455">
                  <c:v>3.8469206462877998E-4</c:v>
                </c:pt>
                <c:pt idx="456">
                  <c:v>4.1317591116653301E-4</c:v>
                </c:pt>
                <c:pt idx="457">
                  <c:v>4.4195354293738101E-4</c:v>
                </c:pt>
                <c:pt idx="458">
                  <c:v>4.7092758554475699E-4</c:v>
                </c:pt>
                <c:pt idx="459">
                  <c:v>4.9999999999999296E-4</c:v>
                </c:pt>
                <c:pt idx="460">
                  <c:v>5.2907241445523002E-4</c:v>
                </c:pt>
                <c:pt idx="461">
                  <c:v>5.5804645706260497E-4</c:v>
                </c:pt>
                <c:pt idx="462">
                  <c:v>5.8682408883346598E-4</c:v>
                </c:pt>
                <c:pt idx="463">
                  <c:v>6.1530793537121901E-4</c:v>
                </c:pt>
                <c:pt idx="464">
                  <c:v>6.4340161635554304E-4</c:v>
                </c:pt>
                <c:pt idx="465">
                  <c:v>6.7101007166283104E-4</c:v>
                </c:pt>
                <c:pt idx="466">
                  <c:v>6.9803988301957295E-4</c:v>
                </c:pt>
                <c:pt idx="467">
                  <c:v>7.2439959010022501E-4</c:v>
                </c:pt>
                <c:pt idx="468">
                  <c:v>7.4999999999999199E-4</c:v>
                </c:pt>
                <c:pt idx="469">
                  <c:v>7.7475448903540495E-4</c:v>
                </c:pt>
                <c:pt idx="470">
                  <c:v>7.9857929585139297E-4</c:v>
                </c:pt>
                <c:pt idx="471">
                  <c:v>8.2139380484326898E-4</c:v>
                </c:pt>
                <c:pt idx="472">
                  <c:v>8.4312081893436503E-4</c:v>
                </c:pt>
                <c:pt idx="473">
                  <c:v>8.6368682078652101E-4</c:v>
                </c:pt>
                <c:pt idx="474">
                  <c:v>8.8302222155948497E-4</c:v>
                </c:pt>
                <c:pt idx="475">
                  <c:v>9.0106159637751702E-4</c:v>
                </c:pt>
                <c:pt idx="476">
                  <c:v>9.1774390570646301E-4</c:v>
                </c:pt>
                <c:pt idx="477">
                  <c:v>9.3301270189222001E-4</c:v>
                </c:pt>
                <c:pt idx="478">
                  <c:v>9.4681632016170602E-4</c:v>
                </c:pt>
                <c:pt idx="479">
                  <c:v>9.5910805344013596E-4</c:v>
                </c:pt>
                <c:pt idx="480">
                  <c:v>9.69846310392953E-4</c:v>
                </c:pt>
                <c:pt idx="481">
                  <c:v>9.7899475615774293E-4</c:v>
                </c:pt>
                <c:pt idx="482">
                  <c:v>9.865224352899099E-4</c:v>
                </c:pt>
                <c:pt idx="483">
                  <c:v>9.9240387650610207E-4</c:v>
                </c:pt>
                <c:pt idx="484">
                  <c:v>9.9661917887097101E-4</c:v>
                </c:pt>
                <c:pt idx="485">
                  <c:v>9.9915407913563395E-4</c:v>
                </c:pt>
                <c:pt idx="486">
                  <c:v>1E-3</c:v>
                </c:pt>
                <c:pt idx="487">
                  <c:v>9.9902132901341298E-4</c:v>
                </c:pt>
                <c:pt idx="488">
                  <c:v>9.9609078917879505E-4</c:v>
                </c:pt>
                <c:pt idx="489">
                  <c:v>9.9122476926363908E-4</c:v>
                </c:pt>
                <c:pt idx="490">
                  <c:v>9.8445048202515091E-4</c:v>
                </c:pt>
                <c:pt idx="491">
                  <c:v>9.7580581202547296E-4</c:v>
                </c:pt>
                <c:pt idx="492">
                  <c:v>9.6533910376584505E-4</c:v>
                </c:pt>
                <c:pt idx="493">
                  <c:v>9.5310889132455196E-4</c:v>
                </c:pt>
                <c:pt idx="494">
                  <c:v>9.39183571010597E-4</c:v>
                </c:pt>
                <c:pt idx="495">
                  <c:v>9.2364101886381004E-4</c:v>
                </c:pt>
                <c:pt idx="496">
                  <c:v>9.0656815514043995E-4</c:v>
                </c:pt>
                <c:pt idx="497">
                  <c:v>8.8806045821982404E-4</c:v>
                </c:pt>
                <c:pt idx="498">
                  <c:v>8.6822143065055999E-4</c:v>
                </c:pt>
                <c:pt idx="499">
                  <c:v>8.4716202032226301E-4</c:v>
                </c:pt>
                <c:pt idx="500">
                  <c:v>8.2499999999999598E-4</c:v>
                </c:pt>
                <c:pt idx="501">
                  <c:v>8.01859308691143E-4</c:v>
                </c:pt>
                <c:pt idx="502">
                  <c:v>7.7786935852823698E-4</c:v>
                </c:pt>
                <c:pt idx="503">
                  <c:v>7.5316431104381599E-4</c:v>
                </c:pt>
                <c:pt idx="504">
                  <c:v>7.2788232688471104E-4</c:v>
                </c:pt>
                <c:pt idx="505">
                  <c:v>7.02164793161663E-4</c:v>
                </c:pt>
                <c:pt idx="506">
                  <c:v>6.7615553275525203E-4</c:v>
                </c:pt>
                <c:pt idx="507">
                  <c:v>6.4999999999999401E-4</c:v>
                </c:pt>
                <c:pt idx="508">
                  <c:v>6.2384446724474704E-4</c:v>
                </c:pt>
                <c:pt idx="509">
                  <c:v>5.9783520683833597E-4</c:v>
                </c:pt>
                <c:pt idx="510">
                  <c:v>5.7211767311528803E-4</c:v>
                </c:pt>
                <c:pt idx="511">
                  <c:v>5.4683568895618298E-4</c:v>
                </c:pt>
                <c:pt idx="512">
                  <c:v>5.2213064147176198E-4</c:v>
                </c:pt>
                <c:pt idx="513">
                  <c:v>4.9814069130885597E-4</c:v>
                </c:pt>
                <c:pt idx="514">
                  <c:v>4.7499999999999301E-4</c:v>
                </c:pt>
                <c:pt idx="515">
                  <c:v>4.5283797967772701E-4</c:v>
                </c:pt>
                <c:pt idx="516">
                  <c:v>4.3177856934943903E-4</c:v>
                </c:pt>
                <c:pt idx="517">
                  <c:v>4.1193954178017498E-4</c:v>
                </c:pt>
                <c:pt idx="518">
                  <c:v>3.9343184485955902E-4</c:v>
                </c:pt>
                <c:pt idx="519">
                  <c:v>3.7635898113618898E-4</c:v>
                </c:pt>
                <c:pt idx="520">
                  <c:v>3.6081642898940202E-4</c:v>
                </c:pt>
                <c:pt idx="521">
                  <c:v>3.46891108675447E-4</c:v>
                </c:pt>
                <c:pt idx="522">
                  <c:v>3.3466089623414899E-4</c:v>
                </c:pt>
                <c:pt idx="523">
                  <c:v>3.2419418797452601E-4</c:v>
                </c:pt>
                <c:pt idx="524">
                  <c:v>3.1554951797484898E-4</c:v>
                </c:pt>
                <c:pt idx="525">
                  <c:v>3.0877523073635999E-4</c:v>
                </c:pt>
                <c:pt idx="526">
                  <c:v>3.0390921082120402E-4</c:v>
                </c:pt>
                <c:pt idx="527">
                  <c:v>3.0097867098658599E-4</c:v>
                </c:pt>
                <c:pt idx="528">
                  <c:v>2.9999999999999997E-4</c:v>
                </c:pt>
                <c:pt idx="529">
                  <c:v>3.0059214460505598E-4</c:v>
                </c:pt>
                <c:pt idx="530">
                  <c:v>3.0236657479031998E-4</c:v>
                </c:pt>
                <c:pt idx="531">
                  <c:v>3.0531728644572802E-4</c:v>
                </c:pt>
                <c:pt idx="532">
                  <c:v>3.0943429529706201E-4</c:v>
                </c:pt>
                <c:pt idx="533">
                  <c:v>3.1470367068957901E-4</c:v>
                </c:pt>
                <c:pt idx="534">
                  <c:v>3.21107582724932E-4</c:v>
                </c:pt>
                <c:pt idx="535">
                  <c:v>3.28624362591904E-4</c:v>
                </c:pt>
                <c:pt idx="536">
                  <c:v>3.37228575886805E-4</c:v>
                </c:pt>
                <c:pt idx="537">
                  <c:v>3.4689110867544901E-4</c:v>
                </c:pt>
                <c:pt idx="538">
                  <c:v>3.5757926600547401E-4</c:v>
                </c:pt>
                <c:pt idx="539">
                  <c:v>3.69256882535736E-4</c:v>
                </c:pt>
                <c:pt idx="540">
                  <c:v>3.8188444490835802E-4</c:v>
                </c:pt>
                <c:pt idx="541">
                  <c:v>3.9541922544943298E-4</c:v>
                </c:pt>
                <c:pt idx="542">
                  <c:v>4.0981542674594197E-4</c:v>
                </c:pt>
                <c:pt idx="543">
                  <c:v>4.2502433660970899E-4</c:v>
                </c:pt>
                <c:pt idx="544">
                  <c:v>4.4099449290402901E-4</c:v>
                </c:pt>
                <c:pt idx="545">
                  <c:v>4.5767185767522098E-4</c:v>
                </c:pt>
                <c:pt idx="546">
                  <c:v>4.75000000000002E-4</c:v>
                </c:pt>
                <c:pt idx="547">
                  <c:v>4.9292028692983904E-4</c:v>
                </c:pt>
                <c:pt idx="548">
                  <c:v>5.1137208188629501E-4</c:v>
                </c:pt>
                <c:pt idx="549">
                  <c:v>5.3029294983601499E-4</c:v>
                </c:pt>
                <c:pt idx="550">
                  <c:v>5.4961886855111599E-4</c:v>
                </c:pt>
                <c:pt idx="551">
                  <c:v>5.6928444524014204E-4</c:v>
                </c:pt>
                <c:pt idx="552">
                  <c:v>5.8922313781657797E-4</c:v>
                </c:pt>
                <c:pt idx="553">
                  <c:v>6.0936748005617199E-4</c:v>
                </c:pt>
                <c:pt idx="554">
                  <c:v>6.2964930988133395E-4</c:v>
                </c:pt>
                <c:pt idx="555">
                  <c:v>6.4999999999999997E-4</c:v>
                </c:pt>
                <c:pt idx="556">
                  <c:v>6.7035069011866502E-4</c:v>
                </c:pt>
                <c:pt idx="557">
                  <c:v>6.9063251994382795E-4</c:v>
                </c:pt>
                <c:pt idx="558">
                  <c:v>7.10776862183421E-4</c:v>
                </c:pt>
                <c:pt idx="559">
                  <c:v>7.3071555475985703E-4</c:v>
                </c:pt>
                <c:pt idx="560">
                  <c:v>7.5038113144888297E-4</c:v>
                </c:pt>
                <c:pt idx="561">
                  <c:v>7.6970705016398398E-4</c:v>
                </c:pt>
                <c:pt idx="562">
                  <c:v>7.8862791811370396E-4</c:v>
                </c:pt>
                <c:pt idx="563">
                  <c:v>8.0707971307016004E-4</c:v>
                </c:pt>
                <c:pt idx="564">
                  <c:v>8.2499999999999696E-4</c:v>
                </c:pt>
                <c:pt idx="565">
                  <c:v>8.4232814232477798E-4</c:v>
                </c:pt>
                <c:pt idx="566">
                  <c:v>8.5900550709596996E-4</c:v>
                </c:pt>
                <c:pt idx="567">
                  <c:v>8.7497566339029002E-4</c:v>
                </c:pt>
                <c:pt idx="568">
                  <c:v>8.9018457325405699E-4</c:v>
                </c:pt>
                <c:pt idx="569">
                  <c:v>9.0458077455056604E-4</c:v>
                </c:pt>
                <c:pt idx="570">
                  <c:v>9.18115555091641E-4</c:v>
                </c:pt>
                <c:pt idx="571">
                  <c:v>9.3074311746426297E-4</c:v>
                </c:pt>
                <c:pt idx="572">
                  <c:v>9.4242073399452501E-4</c:v>
                </c:pt>
                <c:pt idx="573">
                  <c:v>9.5310889132455001E-4</c:v>
                </c:pt>
                <c:pt idx="574">
                  <c:v>9.6277142411319396E-4</c:v>
                </c:pt>
                <c:pt idx="575">
                  <c:v>9.7137563740809605E-4</c:v>
                </c:pt>
                <c:pt idx="576">
                  <c:v>9.7889241727506702E-4</c:v>
                </c:pt>
                <c:pt idx="577">
                  <c:v>9.8529632931041995E-4</c:v>
                </c:pt>
                <c:pt idx="578">
                  <c:v>9.9056570470293696E-4</c:v>
                </c:pt>
                <c:pt idx="579">
                  <c:v>9.9468271355427208E-4</c:v>
                </c:pt>
                <c:pt idx="580">
                  <c:v>9.9763342520967904E-4</c:v>
                </c:pt>
                <c:pt idx="581">
                  <c:v>9.9940785539494293E-4</c:v>
                </c:pt>
                <c:pt idx="582">
                  <c:v>1E-3</c:v>
                </c:pt>
                <c:pt idx="583">
                  <c:v>9.9860189859058996E-4</c:v>
                </c:pt>
                <c:pt idx="584">
                  <c:v>9.9441541311256392E-4</c:v>
                </c:pt>
                <c:pt idx="585">
                  <c:v>9.8746395609091309E-4</c:v>
                </c:pt>
                <c:pt idx="586">
                  <c:v>9.7778640289307201E-4</c:v>
                </c:pt>
                <c:pt idx="587">
                  <c:v>9.6543687432210502E-4</c:v>
                </c:pt>
                <c:pt idx="588">
                  <c:v>9.5048443395121397E-4</c:v>
                </c:pt>
                <c:pt idx="589">
                  <c:v>9.3301270189221795E-4</c:v>
                </c:pt>
                <c:pt idx="590">
                  <c:v>9.1311938715799696E-4</c:v>
                </c:pt>
                <c:pt idx="591">
                  <c:v>8.9091574123401497E-4</c:v>
                </c:pt>
                <c:pt idx="592">
                  <c:v>8.6652593591491495E-4</c:v>
                </c:pt>
                <c:pt idx="593">
                  <c:v>8.4008636888546295E-4</c:v>
                </c:pt>
                <c:pt idx="594">
                  <c:v>8.11744900929372E-4</c:v>
                </c:pt>
                <c:pt idx="595">
                  <c:v>7.8166002903181796E-4</c:v>
                </c:pt>
                <c:pt idx="596">
                  <c:v>7.5000000000000901E-4</c:v>
                </c:pt>
                <c:pt idx="597">
                  <c:v>7.1694186955877505E-4</c:v>
                </c:pt>
                <c:pt idx="598">
                  <c:v>6.8267051218319605E-4</c:v>
                </c:pt>
                <c:pt idx="599">
                  <c:v>6.4737758720545199E-4</c:v>
                </c:pt>
                <c:pt idx="600">
                  <c:v>6.1126046697815902E-4</c:v>
                </c:pt>
                <c:pt idx="601">
                  <c:v>5.7452113308809104E-4</c:v>
                </c:pt>
                <c:pt idx="602">
                  <c:v>5.37365046793218E-4</c:v>
                </c:pt>
                <c:pt idx="603">
                  <c:v>5.0000000000000695E-4</c:v>
                </c:pt>
                <c:pt idx="604">
                  <c:v>4.6263495320678099E-4</c:v>
                </c:pt>
                <c:pt idx="605">
                  <c:v>4.25478866911908E-4</c:v>
                </c:pt>
                <c:pt idx="606">
                  <c:v>3.8873953302184002E-4</c:v>
                </c:pt>
                <c:pt idx="607">
                  <c:v>3.52622412794547E-4</c:v>
                </c:pt>
                <c:pt idx="608">
                  <c:v>3.1732948781680299E-4</c:v>
                </c:pt>
                <c:pt idx="609">
                  <c:v>2.8305813044122302E-4</c:v>
                </c:pt>
                <c:pt idx="610">
                  <c:v>2.5000000000000402E-4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0-4878-85A4-E8460ADC9012}"/>
            </c:ext>
          </c:extLst>
        </c:ser>
        <c:ser>
          <c:idx val="1"/>
          <c:order val="1"/>
          <c:tx>
            <c:strRef>
              <c:f>Blad2!$E$1</c:f>
              <c:strCache>
                <c:ptCount val="1"/>
                <c:pt idx="0">
                  <c:v>H2_Generatie (m3/s) scaled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Blad2!$E$2:$E$1202</c:f>
              <c:numCache>
                <c:formatCode>General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2.6848545057899198E-4</c:v>
                </c:pt>
                <c:pt idx="214">
                  <c:v>3.27444691120688E-4</c:v>
                </c:pt>
                <c:pt idx="215">
                  <c:v>3.9088826667822002E-4</c:v>
                </c:pt>
                <c:pt idx="216">
                  <c:v>4.5833333333334297E-4</c:v>
                </c:pt>
                <c:pt idx="217">
                  <c:v>5.2926659340436495E-4</c:v>
                </c:pt>
                <c:pt idx="218">
                  <c:v>6.03148201951472E-4</c:v>
                </c:pt>
                <c:pt idx="219">
                  <c:v>6.7941587532268602E-4</c:v>
                </c:pt>
                <c:pt idx="220">
                  <c:v>7.5748917047197299E-4</c:v>
                </c:pt>
                <c:pt idx="221">
                  <c:v>8.3677390248130103E-4</c:v>
                </c:pt>
                <c:pt idx="222">
                  <c:v>9.1666666666668302E-4</c:v>
                </c:pt>
                <c:pt idx="223">
                  <c:v>9.9655943085203195E-4</c:v>
                </c:pt>
                <c:pt idx="224">
                  <c:v>1.0758441628613499E-3</c:v>
                </c:pt>
                <c:pt idx="225">
                  <c:v>1.15391745801064E-3</c:v>
                </c:pt>
                <c:pt idx="226">
                  <c:v>1.23018513138186E-3</c:v>
                </c:pt>
                <c:pt idx="227">
                  <c:v>1.3040667399289599E-3</c:v>
                </c:pt>
                <c:pt idx="228">
                  <c:v>1.3749999999999899E-3</c:v>
                </c:pt>
                <c:pt idx="229">
                  <c:v>1.4424450666551401E-3</c:v>
                </c:pt>
                <c:pt idx="230">
                  <c:v>1.5058886422126699E-3</c:v>
                </c:pt>
                <c:pt idx="231">
                  <c:v>1.56484788275434E-3</c:v>
                </c:pt>
                <c:pt idx="232">
                  <c:v>1.6188740728590599E-3</c:v>
                </c:pt>
                <c:pt idx="233">
                  <c:v>1.66755604059824E-3</c:v>
                </c:pt>
                <c:pt idx="234">
                  <c:v>1.71052328680239E-3</c:v>
                </c:pt>
                <c:pt idx="235">
                  <c:v>1.74744880478359E-3</c:v>
                </c:pt>
                <c:pt idx="236">
                  <c:v>1.77805156905374E-3</c:v>
                </c:pt>
                <c:pt idx="237">
                  <c:v>1.80209867409831E-3</c:v>
                </c:pt>
                <c:pt idx="238">
                  <c:v>1.8194071069278499E-3</c:v>
                </c:pt>
                <c:pt idx="239">
                  <c:v>1.8298451399174299E-3</c:v>
                </c:pt>
                <c:pt idx="240">
                  <c:v>1.83333333333333E-3</c:v>
                </c:pt>
                <c:pt idx="241">
                  <c:v>1.83013777229815E-3</c:v>
                </c:pt>
                <c:pt idx="242">
                  <c:v>1.8205861004280499E-3</c:v>
                </c:pt>
                <c:pt idx="243">
                  <c:v>1.8047829678388401E-3</c:v>
                </c:pt>
                <c:pt idx="244">
                  <c:v>1.78290151695817E-3</c:v>
                </c:pt>
                <c:pt idx="245">
                  <c:v>1.75518148554091E-3</c:v>
                </c:pt>
                <c:pt idx="246">
                  <c:v>1.72192658005204E-3</c:v>
                </c:pt>
                <c:pt idx="247">
                  <c:v>1.68350114819514E-3</c:v>
                </c:pt>
                <c:pt idx="248">
                  <c:v>1.6403261870426599E-3</c:v>
                </c:pt>
                <c:pt idx="249">
                  <c:v>1.5928747305039401E-3</c:v>
                </c:pt>
                <c:pt idx="250">
                  <c:v>1.5416666666666699E-3</c:v>
                </c:pt>
                <c:pt idx="251">
                  <c:v>1.4872630417942199E-3</c:v>
                </c:pt>
                <c:pt idx="252">
                  <c:v>1.4302599133853701E-3</c:v>
                </c:pt>
                <c:pt idx="253">
                  <c:v>1.37128181964368E-3</c:v>
                </c:pt>
                <c:pt idx="254">
                  <c:v>1.3109749369061201E-3</c:v>
                </c:pt>
                <c:pt idx="255">
                  <c:v>1.25E-3</c:v>
                </c:pt>
                <c:pt idx="256">
                  <c:v>1.18902506309387E-3</c:v>
                </c:pt>
                <c:pt idx="257">
                  <c:v>1.1287181803563101E-3</c:v>
                </c:pt>
                <c:pt idx="258">
                  <c:v>1.06974008661462E-3</c:v>
                </c:pt>
                <c:pt idx="259">
                  <c:v>1.0127369582057699E-3</c:v>
                </c:pt>
                <c:pt idx="260">
                  <c:v>9.5833333333332504E-4</c:v>
                </c:pt>
                <c:pt idx="261">
                  <c:v>9.0712526949605302E-4</c:v>
                </c:pt>
                <c:pt idx="262">
                  <c:v>8.5967381295733105E-4</c:v>
                </c:pt>
                <c:pt idx="263">
                  <c:v>8.16498851804854E-4</c:v>
                </c:pt>
                <c:pt idx="264">
                  <c:v>7.7807341994795001E-4</c:v>
                </c:pt>
                <c:pt idx="265">
                  <c:v>7.4481851445908098E-4</c:v>
                </c:pt>
                <c:pt idx="266">
                  <c:v>7.1709848304182095E-4</c:v>
                </c:pt>
                <c:pt idx="267">
                  <c:v>6.9521703216115702E-4</c:v>
                </c:pt>
                <c:pt idx="268">
                  <c:v>6.7941389957194495E-4</c:v>
                </c:pt>
                <c:pt idx="269">
                  <c:v>6.6986222770184004E-4</c:v>
                </c:pt>
                <c:pt idx="270">
                  <c:v>6.6666666666666599E-4</c:v>
                </c:pt>
                <c:pt idx="271">
                  <c:v>6.6745943789755298E-4</c:v>
                </c:pt>
                <c:pt idx="272">
                  <c:v>6.69831718122456E-4</c:v>
                </c:pt>
                <c:pt idx="273">
                  <c:v>6.7376545285644299E-4</c:v>
                </c:pt>
                <c:pt idx="274">
                  <c:v>6.7923070400293599E-4</c:v>
                </c:pt>
                <c:pt idx="275">
                  <c:v>6.86185877700698E-4</c:v>
                </c:pt>
                <c:pt idx="276">
                  <c:v>6.9457804087824204E-4</c:v>
                </c:pt>
                <c:pt idx="277">
                  <c:v>7.0434332410645995E-4</c:v>
                </c:pt>
                <c:pt idx="278">
                  <c:v>7.1540740768354495E-4</c:v>
                </c:pt>
                <c:pt idx="279">
                  <c:v>7.2768608725280097E-4</c:v>
                </c:pt>
                <c:pt idx="280">
                  <c:v>7.4108591464863499E-4</c:v>
                </c:pt>
                <c:pt idx="281">
                  <c:v>7.5550490909352805E-4</c:v>
                </c:pt>
                <c:pt idx="282">
                  <c:v>7.7083333333333496E-4</c:v>
                </c:pt>
                <c:pt idx="283">
                  <c:v>7.8695452880402203E-4</c:v>
                </c:pt>
                <c:pt idx="284">
                  <c:v>8.0374580347381897E-4</c:v>
                </c:pt>
                <c:pt idx="285">
                  <c:v>8.2107936560364095E-4</c:v>
                </c:pt>
                <c:pt idx="286">
                  <c:v>8.3882329631938704E-4</c:v>
                </c:pt>
                <c:pt idx="287">
                  <c:v>8.5684255359423504E-4</c:v>
                </c:pt>
                <c:pt idx="288">
                  <c:v>8.7499999999999601E-4</c:v>
                </c:pt>
                <c:pt idx="289">
                  <c:v>8.9315744640576403E-4</c:v>
                </c:pt>
                <c:pt idx="290">
                  <c:v>9.1117670368061202E-4</c:v>
                </c:pt>
                <c:pt idx="291">
                  <c:v>9.2892063439635898E-4</c:v>
                </c:pt>
                <c:pt idx="292">
                  <c:v>9.4625419652617998E-4</c:v>
                </c:pt>
                <c:pt idx="293">
                  <c:v>9.6304547119597703E-4</c:v>
                </c:pt>
                <c:pt idx="294">
                  <c:v>9.7916666666666399E-4</c:v>
                </c:pt>
                <c:pt idx="295">
                  <c:v>9.9449509090646397E-4</c:v>
                </c:pt>
                <c:pt idx="296">
                  <c:v>1.00891408535135E-3</c:v>
                </c:pt>
                <c:pt idx="297">
                  <c:v>1.0223139127471901E-3</c:v>
                </c:pt>
                <c:pt idx="298">
                  <c:v>1.03459259231645E-3</c:v>
                </c:pt>
                <c:pt idx="299">
                  <c:v>1.04565667589353E-3</c:v>
                </c:pt>
                <c:pt idx="300">
                  <c:v>1.0554219591217501E-3</c:v>
                </c:pt>
                <c:pt idx="301">
                  <c:v>1.0638141222993E-3</c:v>
                </c:pt>
                <c:pt idx="302">
                  <c:v>1.07076929599706E-3</c:v>
                </c:pt>
                <c:pt idx="303">
                  <c:v>1.07623454714355E-3</c:v>
                </c:pt>
                <c:pt idx="304">
                  <c:v>1.08016828187754E-3</c:v>
                </c:pt>
                <c:pt idx="305">
                  <c:v>1.08254056210244E-3</c:v>
                </c:pt>
                <c:pt idx="306">
                  <c:v>1.08333333333333E-3</c:v>
                </c:pt>
                <c:pt idx="307">
                  <c:v>1.08271980872412E-3</c:v>
                </c:pt>
                <c:pt idx="308">
                  <c:v>1.08088062472708E-3</c:v>
                </c:pt>
                <c:pt idx="309">
                  <c:v>1.0778199476855E-3</c:v>
                </c:pt>
                <c:pt idx="310">
                  <c:v>1.0735447110173E-3</c:v>
                </c:pt>
                <c:pt idx="311">
                  <c:v>1.06806459950858E-3</c:v>
                </c:pt>
                <c:pt idx="312">
                  <c:v>1.06139202737451E-3</c:v>
                </c:pt>
                <c:pt idx="313">
                  <c:v>1.0535421101371099E-3</c:v>
                </c:pt>
                <c:pt idx="314">
                  <c:v>1.0445326303837E-3</c:v>
                </c:pt>
                <c:pt idx="315">
                  <c:v>1.0343839974836901E-3</c:v>
                </c:pt>
                <c:pt idx="316">
                  <c:v>1.02311920135475E-3</c:v>
                </c:pt>
                <c:pt idx="317">
                  <c:v>1.0107637603832399E-3</c:v>
                </c:pt>
                <c:pt idx="318">
                  <c:v>9.9734566361689295E-4</c:v>
                </c:pt>
                <c:pt idx="319">
                  <c:v>9.8289530736059695E-4</c:v>
                </c:pt>
                <c:pt idx="320">
                  <c:v>9.67445426319009E-4</c:v>
                </c:pt>
                <c:pt idx="321">
                  <c:v>9.5103101944189002E-4</c:v>
                </c:pt>
                <c:pt idx="322">
                  <c:v>9.33689270640247E-4</c:v>
                </c:pt>
                <c:pt idx="323">
                  <c:v>9.1545946455281297E-4</c:v>
                </c:pt>
                <c:pt idx="324">
                  <c:v>8.9638289755369905E-4</c:v>
                </c:pt>
                <c:pt idx="325">
                  <c:v>8.7650278420283204E-4</c:v>
                </c:pt>
                <c:pt idx="326">
                  <c:v>8.5586415935107196E-4</c:v>
                </c:pt>
                <c:pt idx="327">
                  <c:v>8.3451377612177996E-4</c:v>
                </c:pt>
                <c:pt idx="328">
                  <c:v>8.1249999999999996E-4</c:v>
                </c:pt>
                <c:pt idx="329">
                  <c:v>7.8987269926901504E-4</c:v>
                </c:pt>
                <c:pt idx="330">
                  <c:v>7.6668313204269101E-4</c:v>
                </c:pt>
                <c:pt idx="331">
                  <c:v>7.4298383014934804E-4</c:v>
                </c:pt>
                <c:pt idx="332">
                  <c:v>7.1882848013027497E-4</c:v>
                </c:pt>
                <c:pt idx="333">
                  <c:v>6.9427180162244799E-4</c:v>
                </c:pt>
                <c:pt idx="334">
                  <c:v>6.6936942340093699E-4</c:v>
                </c:pt>
                <c:pt idx="335">
                  <c:v>6.4417775736188795E-4</c:v>
                </c:pt>
                <c:pt idx="336">
                  <c:v>6.1875387073136298E-4</c:v>
                </c:pt>
                <c:pt idx="337">
                  <c:v>5.9315535678976803E-4</c:v>
                </c:pt>
                <c:pt idx="338">
                  <c:v>5.6744020440453095E-4</c:v>
                </c:pt>
                <c:pt idx="339">
                  <c:v>5.4166666666667195E-4</c:v>
                </c:pt>
                <c:pt idx="340">
                  <c:v>5.1589312892881295E-4</c:v>
                </c:pt>
                <c:pt idx="341">
                  <c:v>4.9017797654357599E-4</c:v>
                </c:pt>
                <c:pt idx="342">
                  <c:v>4.64579462601969E-4</c:v>
                </c:pt>
                <c:pt idx="343">
                  <c:v>4.3915557597144501E-4</c:v>
                </c:pt>
                <c:pt idx="344">
                  <c:v>4.13963909932395E-4</c:v>
                </c:pt>
                <c:pt idx="345">
                  <c:v>3.8906153171089499E-4</c:v>
                </c:pt>
                <c:pt idx="346">
                  <c:v>3.6450485320306802E-4</c:v>
                </c:pt>
                <c:pt idx="347">
                  <c:v>3.40349503183995E-4</c:v>
                </c:pt>
                <c:pt idx="348">
                  <c:v>3.1665020129065198E-4</c:v>
                </c:pt>
                <c:pt idx="349">
                  <c:v>2.9346063406431798E-4</c:v>
                </c:pt>
                <c:pt idx="350">
                  <c:v>2.70833333333333E-4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2.7560040989976298E-4</c:v>
                </c:pt>
                <c:pt idx="452">
                  <c:v>3.0196011698041401E-4</c:v>
                </c:pt>
                <c:pt idx="453">
                  <c:v>3.28989928337157E-4</c:v>
                </c:pt>
                <c:pt idx="454">
                  <c:v>3.5659838364445601E-4</c:v>
                </c:pt>
                <c:pt idx="455">
                  <c:v>3.8469206462877998E-4</c:v>
                </c:pt>
                <c:pt idx="456">
                  <c:v>4.1317591116653301E-4</c:v>
                </c:pt>
                <c:pt idx="457">
                  <c:v>4.4195354293738101E-4</c:v>
                </c:pt>
                <c:pt idx="458">
                  <c:v>4.7092758554475699E-4</c:v>
                </c:pt>
                <c:pt idx="459">
                  <c:v>4.9999999999999296E-4</c:v>
                </c:pt>
                <c:pt idx="460">
                  <c:v>5.2907241445523002E-4</c:v>
                </c:pt>
                <c:pt idx="461">
                  <c:v>5.5804645706260497E-4</c:v>
                </c:pt>
                <c:pt idx="462">
                  <c:v>5.8682408883346598E-4</c:v>
                </c:pt>
                <c:pt idx="463">
                  <c:v>6.1530793537121901E-4</c:v>
                </c:pt>
                <c:pt idx="464">
                  <c:v>6.4340161635554304E-4</c:v>
                </c:pt>
                <c:pt idx="465">
                  <c:v>6.7101007166283104E-4</c:v>
                </c:pt>
                <c:pt idx="466">
                  <c:v>6.9803988301957295E-4</c:v>
                </c:pt>
                <c:pt idx="467">
                  <c:v>7.2439959010022501E-4</c:v>
                </c:pt>
                <c:pt idx="468">
                  <c:v>7.4999999999999199E-4</c:v>
                </c:pt>
                <c:pt idx="469">
                  <c:v>7.7475448903540495E-4</c:v>
                </c:pt>
                <c:pt idx="470">
                  <c:v>7.9857929585139297E-4</c:v>
                </c:pt>
                <c:pt idx="471">
                  <c:v>8.2139380484326898E-4</c:v>
                </c:pt>
                <c:pt idx="472">
                  <c:v>8.4312081893436503E-4</c:v>
                </c:pt>
                <c:pt idx="473">
                  <c:v>8.6368682078652101E-4</c:v>
                </c:pt>
                <c:pt idx="474">
                  <c:v>8.8302222155948497E-4</c:v>
                </c:pt>
                <c:pt idx="475">
                  <c:v>9.0106159637751702E-4</c:v>
                </c:pt>
                <c:pt idx="476">
                  <c:v>9.1774390570646301E-4</c:v>
                </c:pt>
                <c:pt idx="477">
                  <c:v>9.3301270189222001E-4</c:v>
                </c:pt>
                <c:pt idx="478">
                  <c:v>9.4681632016170602E-4</c:v>
                </c:pt>
                <c:pt idx="479">
                  <c:v>9.5910805344013596E-4</c:v>
                </c:pt>
                <c:pt idx="480">
                  <c:v>9.69846310392953E-4</c:v>
                </c:pt>
                <c:pt idx="481">
                  <c:v>9.7899475615774293E-4</c:v>
                </c:pt>
                <c:pt idx="482">
                  <c:v>9.865224352899099E-4</c:v>
                </c:pt>
                <c:pt idx="483">
                  <c:v>9.9240387650610207E-4</c:v>
                </c:pt>
                <c:pt idx="484">
                  <c:v>9.9661917887097101E-4</c:v>
                </c:pt>
                <c:pt idx="485">
                  <c:v>9.9915407913563395E-4</c:v>
                </c:pt>
                <c:pt idx="486">
                  <c:v>1E-3</c:v>
                </c:pt>
                <c:pt idx="487">
                  <c:v>9.9902132901341298E-4</c:v>
                </c:pt>
                <c:pt idx="488">
                  <c:v>9.9609078917879505E-4</c:v>
                </c:pt>
                <c:pt idx="489">
                  <c:v>9.9122476926363908E-4</c:v>
                </c:pt>
                <c:pt idx="490">
                  <c:v>9.8445048202515091E-4</c:v>
                </c:pt>
                <c:pt idx="491">
                  <c:v>9.7580581202547296E-4</c:v>
                </c:pt>
                <c:pt idx="492">
                  <c:v>9.6533910376584505E-4</c:v>
                </c:pt>
                <c:pt idx="493">
                  <c:v>9.5310889132455196E-4</c:v>
                </c:pt>
                <c:pt idx="494">
                  <c:v>9.39183571010597E-4</c:v>
                </c:pt>
                <c:pt idx="495">
                  <c:v>9.2364101886381004E-4</c:v>
                </c:pt>
                <c:pt idx="496">
                  <c:v>9.0656815514043995E-4</c:v>
                </c:pt>
                <c:pt idx="497">
                  <c:v>8.8806045821982404E-4</c:v>
                </c:pt>
                <c:pt idx="498">
                  <c:v>8.6822143065055999E-4</c:v>
                </c:pt>
                <c:pt idx="499">
                  <c:v>8.4716202032226301E-4</c:v>
                </c:pt>
                <c:pt idx="500">
                  <c:v>8.2499999999999598E-4</c:v>
                </c:pt>
                <c:pt idx="501">
                  <c:v>8.01859308691143E-4</c:v>
                </c:pt>
                <c:pt idx="502">
                  <c:v>7.7786935852823698E-4</c:v>
                </c:pt>
                <c:pt idx="503">
                  <c:v>7.5316431104381599E-4</c:v>
                </c:pt>
                <c:pt idx="504">
                  <c:v>7.2788232688471104E-4</c:v>
                </c:pt>
                <c:pt idx="505">
                  <c:v>7.02164793161663E-4</c:v>
                </c:pt>
                <c:pt idx="506">
                  <c:v>6.7615553275525203E-4</c:v>
                </c:pt>
                <c:pt idx="507">
                  <c:v>6.4999999999999401E-4</c:v>
                </c:pt>
                <c:pt idx="508">
                  <c:v>6.2384446724474704E-4</c:v>
                </c:pt>
                <c:pt idx="509">
                  <c:v>5.9783520683833597E-4</c:v>
                </c:pt>
                <c:pt idx="510">
                  <c:v>5.7211767311528803E-4</c:v>
                </c:pt>
                <c:pt idx="511">
                  <c:v>5.4683568895618298E-4</c:v>
                </c:pt>
                <c:pt idx="512">
                  <c:v>5.2213064147176198E-4</c:v>
                </c:pt>
                <c:pt idx="513">
                  <c:v>4.9814069130885597E-4</c:v>
                </c:pt>
                <c:pt idx="514">
                  <c:v>4.7499999999999301E-4</c:v>
                </c:pt>
                <c:pt idx="515">
                  <c:v>4.5283797967772701E-4</c:v>
                </c:pt>
                <c:pt idx="516">
                  <c:v>4.3177856934943903E-4</c:v>
                </c:pt>
                <c:pt idx="517">
                  <c:v>4.1193954178017498E-4</c:v>
                </c:pt>
                <c:pt idx="518">
                  <c:v>3.9343184485955902E-4</c:v>
                </c:pt>
                <c:pt idx="519">
                  <c:v>3.7635898113618898E-4</c:v>
                </c:pt>
                <c:pt idx="520">
                  <c:v>3.6081642898940202E-4</c:v>
                </c:pt>
                <c:pt idx="521">
                  <c:v>3.46891108675447E-4</c:v>
                </c:pt>
                <c:pt idx="522">
                  <c:v>3.3466089623414899E-4</c:v>
                </c:pt>
                <c:pt idx="523">
                  <c:v>3.2419418797452601E-4</c:v>
                </c:pt>
                <c:pt idx="524">
                  <c:v>3.1554951797484898E-4</c:v>
                </c:pt>
                <c:pt idx="525">
                  <c:v>3.0877523073635999E-4</c:v>
                </c:pt>
                <c:pt idx="526">
                  <c:v>3.0390921082120402E-4</c:v>
                </c:pt>
                <c:pt idx="527">
                  <c:v>3.0097867098658599E-4</c:v>
                </c:pt>
                <c:pt idx="528">
                  <c:v>2.9999999999999997E-4</c:v>
                </c:pt>
                <c:pt idx="529">
                  <c:v>3.0059214460505598E-4</c:v>
                </c:pt>
                <c:pt idx="530">
                  <c:v>3.0236657479031998E-4</c:v>
                </c:pt>
                <c:pt idx="531">
                  <c:v>3.0531728644572802E-4</c:v>
                </c:pt>
                <c:pt idx="532">
                  <c:v>3.0943429529706201E-4</c:v>
                </c:pt>
                <c:pt idx="533">
                  <c:v>3.1470367068957901E-4</c:v>
                </c:pt>
                <c:pt idx="534">
                  <c:v>3.21107582724932E-4</c:v>
                </c:pt>
                <c:pt idx="535">
                  <c:v>3.28624362591904E-4</c:v>
                </c:pt>
                <c:pt idx="536">
                  <c:v>3.37228575886805E-4</c:v>
                </c:pt>
                <c:pt idx="537">
                  <c:v>3.4689110867544901E-4</c:v>
                </c:pt>
                <c:pt idx="538">
                  <c:v>3.5757926600547401E-4</c:v>
                </c:pt>
                <c:pt idx="539">
                  <c:v>3.69256882535736E-4</c:v>
                </c:pt>
                <c:pt idx="540">
                  <c:v>3.8188444490835802E-4</c:v>
                </c:pt>
                <c:pt idx="541">
                  <c:v>3.9541922544943298E-4</c:v>
                </c:pt>
                <c:pt idx="542">
                  <c:v>4.0981542674594197E-4</c:v>
                </c:pt>
                <c:pt idx="543">
                  <c:v>4.2502433660970899E-4</c:v>
                </c:pt>
                <c:pt idx="544">
                  <c:v>4.4099449290402901E-4</c:v>
                </c:pt>
                <c:pt idx="545">
                  <c:v>4.5767185767522098E-4</c:v>
                </c:pt>
                <c:pt idx="546">
                  <c:v>4.75000000000002E-4</c:v>
                </c:pt>
                <c:pt idx="547">
                  <c:v>4.9292028692983904E-4</c:v>
                </c:pt>
                <c:pt idx="548">
                  <c:v>5.1137208188629501E-4</c:v>
                </c:pt>
                <c:pt idx="549">
                  <c:v>5.3029294983601499E-4</c:v>
                </c:pt>
                <c:pt idx="550">
                  <c:v>5.4961886855111599E-4</c:v>
                </c:pt>
                <c:pt idx="551">
                  <c:v>5.6928444524014204E-4</c:v>
                </c:pt>
                <c:pt idx="552">
                  <c:v>5.8922313781657797E-4</c:v>
                </c:pt>
                <c:pt idx="553">
                  <c:v>6.0936748005617199E-4</c:v>
                </c:pt>
                <c:pt idx="554">
                  <c:v>6.2964930988133395E-4</c:v>
                </c:pt>
                <c:pt idx="555">
                  <c:v>6.4999999999999997E-4</c:v>
                </c:pt>
                <c:pt idx="556">
                  <c:v>6.7035069011866502E-4</c:v>
                </c:pt>
                <c:pt idx="557">
                  <c:v>6.9063251994382795E-4</c:v>
                </c:pt>
                <c:pt idx="558">
                  <c:v>7.10776862183421E-4</c:v>
                </c:pt>
                <c:pt idx="559">
                  <c:v>7.3071555475985703E-4</c:v>
                </c:pt>
                <c:pt idx="560">
                  <c:v>7.5038113144888297E-4</c:v>
                </c:pt>
                <c:pt idx="561">
                  <c:v>7.6970705016398398E-4</c:v>
                </c:pt>
                <c:pt idx="562">
                  <c:v>7.8862791811370396E-4</c:v>
                </c:pt>
                <c:pt idx="563">
                  <c:v>8.0707971307016004E-4</c:v>
                </c:pt>
                <c:pt idx="564">
                  <c:v>8.2499999999999696E-4</c:v>
                </c:pt>
                <c:pt idx="565">
                  <c:v>8.4232814232477798E-4</c:v>
                </c:pt>
                <c:pt idx="566">
                  <c:v>8.5900550709596996E-4</c:v>
                </c:pt>
                <c:pt idx="567">
                  <c:v>8.7497566339029002E-4</c:v>
                </c:pt>
                <c:pt idx="568">
                  <c:v>8.9018457325405699E-4</c:v>
                </c:pt>
                <c:pt idx="569">
                  <c:v>9.0458077455056604E-4</c:v>
                </c:pt>
                <c:pt idx="570">
                  <c:v>9.18115555091641E-4</c:v>
                </c:pt>
                <c:pt idx="571">
                  <c:v>9.3074311746426297E-4</c:v>
                </c:pt>
                <c:pt idx="572">
                  <c:v>9.4242073399452501E-4</c:v>
                </c:pt>
                <c:pt idx="573">
                  <c:v>9.5310889132455001E-4</c:v>
                </c:pt>
                <c:pt idx="574">
                  <c:v>9.6277142411319396E-4</c:v>
                </c:pt>
                <c:pt idx="575">
                  <c:v>9.7137563740809605E-4</c:v>
                </c:pt>
                <c:pt idx="576">
                  <c:v>9.7889241727506702E-4</c:v>
                </c:pt>
                <c:pt idx="577">
                  <c:v>9.8529632931041995E-4</c:v>
                </c:pt>
                <c:pt idx="578">
                  <c:v>9.9056570470293696E-4</c:v>
                </c:pt>
                <c:pt idx="579">
                  <c:v>9.9468271355427208E-4</c:v>
                </c:pt>
                <c:pt idx="580">
                  <c:v>9.9763342520967904E-4</c:v>
                </c:pt>
                <c:pt idx="581">
                  <c:v>9.9940785539494293E-4</c:v>
                </c:pt>
                <c:pt idx="582">
                  <c:v>1E-3</c:v>
                </c:pt>
                <c:pt idx="583">
                  <c:v>9.9860189859058996E-4</c:v>
                </c:pt>
                <c:pt idx="584">
                  <c:v>9.9441541311256392E-4</c:v>
                </c:pt>
                <c:pt idx="585">
                  <c:v>9.8746395609091309E-4</c:v>
                </c:pt>
                <c:pt idx="586">
                  <c:v>9.7778640289307201E-4</c:v>
                </c:pt>
                <c:pt idx="587">
                  <c:v>9.6543687432210502E-4</c:v>
                </c:pt>
                <c:pt idx="588">
                  <c:v>9.5048443395121397E-4</c:v>
                </c:pt>
                <c:pt idx="589">
                  <c:v>9.3301270189221795E-4</c:v>
                </c:pt>
                <c:pt idx="590">
                  <c:v>9.1311938715799696E-4</c:v>
                </c:pt>
                <c:pt idx="591">
                  <c:v>8.9091574123401497E-4</c:v>
                </c:pt>
                <c:pt idx="592">
                  <c:v>8.6652593591491495E-4</c:v>
                </c:pt>
                <c:pt idx="593">
                  <c:v>8.4008636888546295E-4</c:v>
                </c:pt>
                <c:pt idx="594">
                  <c:v>8.11744900929372E-4</c:v>
                </c:pt>
                <c:pt idx="595">
                  <c:v>7.8166002903181796E-4</c:v>
                </c:pt>
                <c:pt idx="596">
                  <c:v>7.5000000000000901E-4</c:v>
                </c:pt>
                <c:pt idx="597">
                  <c:v>7.1694186955877505E-4</c:v>
                </c:pt>
                <c:pt idx="598">
                  <c:v>6.8267051218319605E-4</c:v>
                </c:pt>
                <c:pt idx="599">
                  <c:v>6.4737758720545199E-4</c:v>
                </c:pt>
                <c:pt idx="600">
                  <c:v>6.1126046697815902E-4</c:v>
                </c:pt>
                <c:pt idx="601">
                  <c:v>5.7452113308809104E-4</c:v>
                </c:pt>
                <c:pt idx="602">
                  <c:v>5.37365046793218E-4</c:v>
                </c:pt>
                <c:pt idx="603">
                  <c:v>5.0000000000000695E-4</c:v>
                </c:pt>
                <c:pt idx="604">
                  <c:v>4.6263495320678099E-4</c:v>
                </c:pt>
                <c:pt idx="605">
                  <c:v>4.25478866911908E-4</c:v>
                </c:pt>
                <c:pt idx="606">
                  <c:v>3.8873953302184002E-4</c:v>
                </c:pt>
                <c:pt idx="607">
                  <c:v>3.52622412794547E-4</c:v>
                </c:pt>
                <c:pt idx="608">
                  <c:v>3.1732948781680299E-4</c:v>
                </c:pt>
                <c:pt idx="609">
                  <c:v>2.8305813044122302E-4</c:v>
                </c:pt>
                <c:pt idx="610">
                  <c:v>2.5000000000000402E-4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0-4878-85A4-E8460ADC9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238096"/>
        <c:axId val="1749237616"/>
      </c:lineChart>
      <c:catAx>
        <c:axId val="1749238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49237616"/>
        <c:crosses val="autoZero"/>
        <c:auto val="1"/>
        <c:lblAlgn val="ctr"/>
        <c:lblOffset val="100"/>
        <c:noMultiLvlLbl val="0"/>
      </c:catAx>
      <c:valAx>
        <c:axId val="17492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4923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Blad3!$B$1</c:f>
              <c:strCache>
                <c:ptCount val="1"/>
                <c:pt idx="0">
                  <c:v>H2 Generation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Blad3!$B$2:$B$1202</c:f>
              <c:numCache>
                <c:formatCode>0.000000000000000000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2.6848545057899198E-4</c:v>
                </c:pt>
                <c:pt idx="214">
                  <c:v>3.27444691120688E-4</c:v>
                </c:pt>
                <c:pt idx="215">
                  <c:v>3.9088826667822002E-4</c:v>
                </c:pt>
                <c:pt idx="216">
                  <c:v>4.5833333333334297E-4</c:v>
                </c:pt>
                <c:pt idx="217">
                  <c:v>5.2926659340436495E-4</c:v>
                </c:pt>
                <c:pt idx="218">
                  <c:v>6.03148201951472E-4</c:v>
                </c:pt>
                <c:pt idx="219">
                  <c:v>6.7941587532268602E-4</c:v>
                </c:pt>
                <c:pt idx="220">
                  <c:v>7.5748917047197299E-4</c:v>
                </c:pt>
                <c:pt idx="221">
                  <c:v>8.3677390248130103E-4</c:v>
                </c:pt>
                <c:pt idx="222">
                  <c:v>9.1666666666668302E-4</c:v>
                </c:pt>
                <c:pt idx="223">
                  <c:v>9.9655943085203195E-4</c:v>
                </c:pt>
                <c:pt idx="224">
                  <c:v>1.0758441628613499E-3</c:v>
                </c:pt>
                <c:pt idx="225">
                  <c:v>1.15391745801064E-3</c:v>
                </c:pt>
                <c:pt idx="226">
                  <c:v>1.23018513138186E-3</c:v>
                </c:pt>
                <c:pt idx="227">
                  <c:v>1.3040667399289599E-3</c:v>
                </c:pt>
                <c:pt idx="228">
                  <c:v>1.3749999999999899E-3</c:v>
                </c:pt>
                <c:pt idx="229">
                  <c:v>1.4424450666551401E-3</c:v>
                </c:pt>
                <c:pt idx="230">
                  <c:v>1.5058886422126699E-3</c:v>
                </c:pt>
                <c:pt idx="231">
                  <c:v>1.56484788275434E-3</c:v>
                </c:pt>
                <c:pt idx="232">
                  <c:v>1.6188740728590599E-3</c:v>
                </c:pt>
                <c:pt idx="233">
                  <c:v>1.66755604059824E-3</c:v>
                </c:pt>
                <c:pt idx="234">
                  <c:v>1.71052328680239E-3</c:v>
                </c:pt>
                <c:pt idx="235">
                  <c:v>1.74744880478359E-3</c:v>
                </c:pt>
                <c:pt idx="236">
                  <c:v>1.77805156905374E-3</c:v>
                </c:pt>
                <c:pt idx="237">
                  <c:v>1.80209867409831E-3</c:v>
                </c:pt>
                <c:pt idx="238">
                  <c:v>1.8194071069278499E-3</c:v>
                </c:pt>
                <c:pt idx="239">
                  <c:v>1.8298451399174299E-3</c:v>
                </c:pt>
                <c:pt idx="240">
                  <c:v>1.83333333333333E-3</c:v>
                </c:pt>
                <c:pt idx="241">
                  <c:v>1.83013777229815E-3</c:v>
                </c:pt>
                <c:pt idx="242">
                  <c:v>1.8205861004280499E-3</c:v>
                </c:pt>
                <c:pt idx="243">
                  <c:v>1.8047829678388401E-3</c:v>
                </c:pt>
                <c:pt idx="244">
                  <c:v>1.78290151695817E-3</c:v>
                </c:pt>
                <c:pt idx="245">
                  <c:v>1.75518148554091E-3</c:v>
                </c:pt>
                <c:pt idx="246">
                  <c:v>1.72192658005204E-3</c:v>
                </c:pt>
                <c:pt idx="247">
                  <c:v>1.68350114819514E-3</c:v>
                </c:pt>
                <c:pt idx="248">
                  <c:v>1.6403261870426599E-3</c:v>
                </c:pt>
                <c:pt idx="249">
                  <c:v>1.5928747305039401E-3</c:v>
                </c:pt>
                <c:pt idx="250">
                  <c:v>1.5416666666666699E-3</c:v>
                </c:pt>
                <c:pt idx="251">
                  <c:v>1.4872630417942199E-3</c:v>
                </c:pt>
                <c:pt idx="252">
                  <c:v>1.4302599133853701E-3</c:v>
                </c:pt>
                <c:pt idx="253">
                  <c:v>1.37128181964368E-3</c:v>
                </c:pt>
                <c:pt idx="254">
                  <c:v>1.3109749369061201E-3</c:v>
                </c:pt>
                <c:pt idx="255">
                  <c:v>1.25E-3</c:v>
                </c:pt>
                <c:pt idx="256">
                  <c:v>1.18902506309387E-3</c:v>
                </c:pt>
                <c:pt idx="257">
                  <c:v>1.1287181803563101E-3</c:v>
                </c:pt>
                <c:pt idx="258">
                  <c:v>1.06974008661462E-3</c:v>
                </c:pt>
                <c:pt idx="259">
                  <c:v>1.0127369582057699E-3</c:v>
                </c:pt>
                <c:pt idx="260">
                  <c:v>9.5833333333332504E-4</c:v>
                </c:pt>
                <c:pt idx="261">
                  <c:v>9.0712526949605302E-4</c:v>
                </c:pt>
                <c:pt idx="262">
                  <c:v>8.5967381295733105E-4</c:v>
                </c:pt>
                <c:pt idx="263">
                  <c:v>8.16498851804854E-4</c:v>
                </c:pt>
                <c:pt idx="264">
                  <c:v>7.7807341994795001E-4</c:v>
                </c:pt>
                <c:pt idx="265">
                  <c:v>7.4481851445908098E-4</c:v>
                </c:pt>
                <c:pt idx="266">
                  <c:v>7.1709848304182095E-4</c:v>
                </c:pt>
                <c:pt idx="267">
                  <c:v>6.9521703216115702E-4</c:v>
                </c:pt>
                <c:pt idx="268">
                  <c:v>6.7941389957194495E-4</c:v>
                </c:pt>
                <c:pt idx="269">
                  <c:v>6.6986222770184004E-4</c:v>
                </c:pt>
                <c:pt idx="270">
                  <c:v>6.6666666666666599E-4</c:v>
                </c:pt>
                <c:pt idx="271">
                  <c:v>6.6745943789755298E-4</c:v>
                </c:pt>
                <c:pt idx="272">
                  <c:v>6.69831718122456E-4</c:v>
                </c:pt>
                <c:pt idx="273">
                  <c:v>6.7376545285644299E-4</c:v>
                </c:pt>
                <c:pt idx="274">
                  <c:v>6.7923070400293599E-4</c:v>
                </c:pt>
                <c:pt idx="275">
                  <c:v>6.86185877700698E-4</c:v>
                </c:pt>
                <c:pt idx="276">
                  <c:v>6.9457804087824204E-4</c:v>
                </c:pt>
                <c:pt idx="277">
                  <c:v>7.0434332410645995E-4</c:v>
                </c:pt>
                <c:pt idx="278">
                  <c:v>7.1540740768354495E-4</c:v>
                </c:pt>
                <c:pt idx="279">
                  <c:v>7.2768608725280097E-4</c:v>
                </c:pt>
                <c:pt idx="280">
                  <c:v>7.4108591464863499E-4</c:v>
                </c:pt>
                <c:pt idx="281">
                  <c:v>7.5550490909352805E-4</c:v>
                </c:pt>
                <c:pt idx="282">
                  <c:v>7.7083333333333496E-4</c:v>
                </c:pt>
                <c:pt idx="283">
                  <c:v>7.8695452880402203E-4</c:v>
                </c:pt>
                <c:pt idx="284">
                  <c:v>8.0374580347381897E-4</c:v>
                </c:pt>
                <c:pt idx="285">
                  <c:v>8.2107936560364095E-4</c:v>
                </c:pt>
                <c:pt idx="286">
                  <c:v>8.3882329631938704E-4</c:v>
                </c:pt>
                <c:pt idx="287">
                  <c:v>8.5684255359423504E-4</c:v>
                </c:pt>
                <c:pt idx="288">
                  <c:v>8.7499999999999601E-4</c:v>
                </c:pt>
                <c:pt idx="289">
                  <c:v>8.9315744640576403E-4</c:v>
                </c:pt>
                <c:pt idx="290">
                  <c:v>9.1117670368061202E-4</c:v>
                </c:pt>
                <c:pt idx="291">
                  <c:v>9.2892063439635898E-4</c:v>
                </c:pt>
                <c:pt idx="292">
                  <c:v>9.4625419652617998E-4</c:v>
                </c:pt>
                <c:pt idx="293">
                  <c:v>9.6304547119597703E-4</c:v>
                </c:pt>
                <c:pt idx="294">
                  <c:v>9.7916666666666399E-4</c:v>
                </c:pt>
                <c:pt idx="295">
                  <c:v>9.9449509090646397E-4</c:v>
                </c:pt>
                <c:pt idx="296">
                  <c:v>1.00891408535135E-3</c:v>
                </c:pt>
                <c:pt idx="297">
                  <c:v>1.0223139127471901E-3</c:v>
                </c:pt>
                <c:pt idx="298">
                  <c:v>1.03459259231645E-3</c:v>
                </c:pt>
                <c:pt idx="299">
                  <c:v>1.04565667589353E-3</c:v>
                </c:pt>
                <c:pt idx="300">
                  <c:v>1.0554219591217501E-3</c:v>
                </c:pt>
                <c:pt idx="301">
                  <c:v>1.0638141222993E-3</c:v>
                </c:pt>
                <c:pt idx="302">
                  <c:v>1.07076929599706E-3</c:v>
                </c:pt>
                <c:pt idx="303">
                  <c:v>1.07623454714355E-3</c:v>
                </c:pt>
                <c:pt idx="304">
                  <c:v>1.08016828187754E-3</c:v>
                </c:pt>
                <c:pt idx="305">
                  <c:v>1.08254056210244E-3</c:v>
                </c:pt>
                <c:pt idx="306">
                  <c:v>1.08333333333333E-3</c:v>
                </c:pt>
                <c:pt idx="307">
                  <c:v>1.08271980872412E-3</c:v>
                </c:pt>
                <c:pt idx="308">
                  <c:v>1.08088062472708E-3</c:v>
                </c:pt>
                <c:pt idx="309">
                  <c:v>1.0778199476855E-3</c:v>
                </c:pt>
                <c:pt idx="310">
                  <c:v>1.0735447110173E-3</c:v>
                </c:pt>
                <c:pt idx="311">
                  <c:v>1.06806459950858E-3</c:v>
                </c:pt>
                <c:pt idx="312">
                  <c:v>1.06139202737451E-3</c:v>
                </c:pt>
                <c:pt idx="313">
                  <c:v>1.0535421101371099E-3</c:v>
                </c:pt>
                <c:pt idx="314">
                  <c:v>1.0445326303837E-3</c:v>
                </c:pt>
                <c:pt idx="315">
                  <c:v>1.0343839974836901E-3</c:v>
                </c:pt>
                <c:pt idx="316">
                  <c:v>1.02311920135475E-3</c:v>
                </c:pt>
                <c:pt idx="317">
                  <c:v>1.0107637603832399E-3</c:v>
                </c:pt>
                <c:pt idx="318">
                  <c:v>9.9734566361689295E-4</c:v>
                </c:pt>
                <c:pt idx="319">
                  <c:v>9.8289530736059695E-4</c:v>
                </c:pt>
                <c:pt idx="320">
                  <c:v>9.67445426319009E-4</c:v>
                </c:pt>
                <c:pt idx="321">
                  <c:v>9.5103101944189002E-4</c:v>
                </c:pt>
                <c:pt idx="322">
                  <c:v>9.33689270640247E-4</c:v>
                </c:pt>
                <c:pt idx="323">
                  <c:v>9.1545946455281297E-4</c:v>
                </c:pt>
                <c:pt idx="324">
                  <c:v>8.9638289755369905E-4</c:v>
                </c:pt>
                <c:pt idx="325">
                  <c:v>8.7650278420283204E-4</c:v>
                </c:pt>
                <c:pt idx="326">
                  <c:v>8.5586415935107196E-4</c:v>
                </c:pt>
                <c:pt idx="327">
                  <c:v>8.3451377612177996E-4</c:v>
                </c:pt>
                <c:pt idx="328">
                  <c:v>8.1249999999999996E-4</c:v>
                </c:pt>
                <c:pt idx="329">
                  <c:v>7.8987269926901504E-4</c:v>
                </c:pt>
                <c:pt idx="330">
                  <c:v>7.6668313204269101E-4</c:v>
                </c:pt>
                <c:pt idx="331">
                  <c:v>7.4298383014934804E-4</c:v>
                </c:pt>
                <c:pt idx="332">
                  <c:v>7.1882848013027497E-4</c:v>
                </c:pt>
                <c:pt idx="333">
                  <c:v>6.9427180162244799E-4</c:v>
                </c:pt>
                <c:pt idx="334">
                  <c:v>6.6936942340093699E-4</c:v>
                </c:pt>
                <c:pt idx="335">
                  <c:v>6.4417775736188795E-4</c:v>
                </c:pt>
                <c:pt idx="336">
                  <c:v>6.1875387073136298E-4</c:v>
                </c:pt>
                <c:pt idx="337">
                  <c:v>5.9315535678976803E-4</c:v>
                </c:pt>
                <c:pt idx="338">
                  <c:v>5.6744020440453095E-4</c:v>
                </c:pt>
                <c:pt idx="339">
                  <c:v>5.4166666666667195E-4</c:v>
                </c:pt>
                <c:pt idx="340">
                  <c:v>5.1589312892881295E-4</c:v>
                </c:pt>
                <c:pt idx="341">
                  <c:v>4.9017797654357599E-4</c:v>
                </c:pt>
                <c:pt idx="342">
                  <c:v>4.64579462601969E-4</c:v>
                </c:pt>
                <c:pt idx="343">
                  <c:v>4.3915557597144501E-4</c:v>
                </c:pt>
                <c:pt idx="344">
                  <c:v>4.13963909932395E-4</c:v>
                </c:pt>
                <c:pt idx="345">
                  <c:v>3.8906153171089499E-4</c:v>
                </c:pt>
                <c:pt idx="346">
                  <c:v>3.6450485320306802E-4</c:v>
                </c:pt>
                <c:pt idx="347">
                  <c:v>3.40349503183995E-4</c:v>
                </c:pt>
                <c:pt idx="348">
                  <c:v>3.1665020129065198E-4</c:v>
                </c:pt>
                <c:pt idx="349">
                  <c:v>2.9346063406431798E-4</c:v>
                </c:pt>
                <c:pt idx="350">
                  <c:v>2.70833333333333E-4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2.7560040989976298E-4</c:v>
                </c:pt>
                <c:pt idx="452">
                  <c:v>3.0196011698041401E-4</c:v>
                </c:pt>
                <c:pt idx="453">
                  <c:v>3.28989928337157E-4</c:v>
                </c:pt>
                <c:pt idx="454">
                  <c:v>3.5659838364445601E-4</c:v>
                </c:pt>
                <c:pt idx="455">
                  <c:v>3.8469206462877998E-4</c:v>
                </c:pt>
                <c:pt idx="456">
                  <c:v>4.1317591116653301E-4</c:v>
                </c:pt>
                <c:pt idx="457">
                  <c:v>4.4195354293738101E-4</c:v>
                </c:pt>
                <c:pt idx="458">
                  <c:v>4.7092758554475699E-4</c:v>
                </c:pt>
                <c:pt idx="459">
                  <c:v>4.9999999999999296E-4</c:v>
                </c:pt>
                <c:pt idx="460">
                  <c:v>5.2907241445523002E-4</c:v>
                </c:pt>
                <c:pt idx="461">
                  <c:v>5.5804645706260497E-4</c:v>
                </c:pt>
                <c:pt idx="462">
                  <c:v>5.8682408883346598E-4</c:v>
                </c:pt>
                <c:pt idx="463">
                  <c:v>6.1530793537121901E-4</c:v>
                </c:pt>
                <c:pt idx="464">
                  <c:v>6.4340161635554304E-4</c:v>
                </c:pt>
                <c:pt idx="465">
                  <c:v>6.7101007166283104E-4</c:v>
                </c:pt>
                <c:pt idx="466">
                  <c:v>6.9803988301957295E-4</c:v>
                </c:pt>
                <c:pt idx="467">
                  <c:v>7.2439959010022501E-4</c:v>
                </c:pt>
                <c:pt idx="468">
                  <c:v>7.4999999999999199E-4</c:v>
                </c:pt>
                <c:pt idx="469">
                  <c:v>7.7475448903540495E-4</c:v>
                </c:pt>
                <c:pt idx="470">
                  <c:v>7.9857929585139297E-4</c:v>
                </c:pt>
                <c:pt idx="471">
                  <c:v>8.2139380484326898E-4</c:v>
                </c:pt>
                <c:pt idx="472">
                  <c:v>8.4312081893436503E-4</c:v>
                </c:pt>
                <c:pt idx="473">
                  <c:v>8.6368682078652101E-4</c:v>
                </c:pt>
                <c:pt idx="474">
                  <c:v>8.8302222155948497E-4</c:v>
                </c:pt>
                <c:pt idx="475">
                  <c:v>9.0106159637751702E-4</c:v>
                </c:pt>
                <c:pt idx="476">
                  <c:v>9.1774390570646301E-4</c:v>
                </c:pt>
                <c:pt idx="477">
                  <c:v>9.3301270189222001E-4</c:v>
                </c:pt>
                <c:pt idx="478">
                  <c:v>9.4681632016170602E-4</c:v>
                </c:pt>
                <c:pt idx="479">
                  <c:v>9.5910805344013596E-4</c:v>
                </c:pt>
                <c:pt idx="480">
                  <c:v>9.69846310392953E-4</c:v>
                </c:pt>
                <c:pt idx="481">
                  <c:v>9.7899475615774293E-4</c:v>
                </c:pt>
                <c:pt idx="482">
                  <c:v>9.865224352899099E-4</c:v>
                </c:pt>
                <c:pt idx="483">
                  <c:v>9.9240387650610207E-4</c:v>
                </c:pt>
                <c:pt idx="484">
                  <c:v>9.9661917887097101E-4</c:v>
                </c:pt>
                <c:pt idx="485">
                  <c:v>9.9915407913563395E-4</c:v>
                </c:pt>
                <c:pt idx="486">
                  <c:v>1E-3</c:v>
                </c:pt>
                <c:pt idx="487">
                  <c:v>9.9902132901341298E-4</c:v>
                </c:pt>
                <c:pt idx="488">
                  <c:v>9.9609078917879505E-4</c:v>
                </c:pt>
                <c:pt idx="489">
                  <c:v>9.9122476926363908E-4</c:v>
                </c:pt>
                <c:pt idx="490">
                  <c:v>9.8445048202515091E-4</c:v>
                </c:pt>
                <c:pt idx="491">
                  <c:v>9.7580581202547296E-4</c:v>
                </c:pt>
                <c:pt idx="492">
                  <c:v>9.6533910376584505E-4</c:v>
                </c:pt>
                <c:pt idx="493">
                  <c:v>9.5310889132455196E-4</c:v>
                </c:pt>
                <c:pt idx="494">
                  <c:v>9.39183571010597E-4</c:v>
                </c:pt>
                <c:pt idx="495">
                  <c:v>9.2364101886381004E-4</c:v>
                </c:pt>
                <c:pt idx="496">
                  <c:v>9.0656815514043995E-4</c:v>
                </c:pt>
                <c:pt idx="497">
                  <c:v>8.8806045821982404E-4</c:v>
                </c:pt>
                <c:pt idx="498">
                  <c:v>8.6822143065055999E-4</c:v>
                </c:pt>
                <c:pt idx="499">
                  <c:v>8.4716202032226301E-4</c:v>
                </c:pt>
                <c:pt idx="500">
                  <c:v>8.2499999999999598E-4</c:v>
                </c:pt>
                <c:pt idx="501">
                  <c:v>8.01859308691143E-4</c:v>
                </c:pt>
                <c:pt idx="502">
                  <c:v>7.7786935852823698E-4</c:v>
                </c:pt>
                <c:pt idx="503">
                  <c:v>7.5316431104381599E-4</c:v>
                </c:pt>
                <c:pt idx="504">
                  <c:v>7.2788232688471104E-4</c:v>
                </c:pt>
                <c:pt idx="505">
                  <c:v>7.02164793161663E-4</c:v>
                </c:pt>
                <c:pt idx="506">
                  <c:v>6.7615553275525203E-4</c:v>
                </c:pt>
                <c:pt idx="507">
                  <c:v>6.4999999999999401E-4</c:v>
                </c:pt>
                <c:pt idx="508">
                  <c:v>6.2384446724474704E-4</c:v>
                </c:pt>
                <c:pt idx="509">
                  <c:v>5.9783520683833597E-4</c:v>
                </c:pt>
                <c:pt idx="510">
                  <c:v>5.7211767311528803E-4</c:v>
                </c:pt>
                <c:pt idx="511">
                  <c:v>5.4683568895618298E-4</c:v>
                </c:pt>
                <c:pt idx="512">
                  <c:v>5.2213064147176198E-4</c:v>
                </c:pt>
                <c:pt idx="513">
                  <c:v>4.9814069130885597E-4</c:v>
                </c:pt>
                <c:pt idx="514">
                  <c:v>4.7499999999999301E-4</c:v>
                </c:pt>
                <c:pt idx="515">
                  <c:v>4.5283797967772701E-4</c:v>
                </c:pt>
                <c:pt idx="516">
                  <c:v>4.3177856934943903E-4</c:v>
                </c:pt>
                <c:pt idx="517">
                  <c:v>4.1193954178017498E-4</c:v>
                </c:pt>
                <c:pt idx="518">
                  <c:v>3.9343184485955902E-4</c:v>
                </c:pt>
                <c:pt idx="519">
                  <c:v>3.7635898113618898E-4</c:v>
                </c:pt>
                <c:pt idx="520">
                  <c:v>3.6081642898940202E-4</c:v>
                </c:pt>
                <c:pt idx="521">
                  <c:v>3.46891108675447E-4</c:v>
                </c:pt>
                <c:pt idx="522">
                  <c:v>3.3466089623414899E-4</c:v>
                </c:pt>
                <c:pt idx="523">
                  <c:v>3.2419418797452601E-4</c:v>
                </c:pt>
                <c:pt idx="524">
                  <c:v>3.1554951797484898E-4</c:v>
                </c:pt>
                <c:pt idx="525">
                  <c:v>3.0877523073635999E-4</c:v>
                </c:pt>
                <c:pt idx="526">
                  <c:v>3.0390921082120402E-4</c:v>
                </c:pt>
                <c:pt idx="527">
                  <c:v>3.0097867098658599E-4</c:v>
                </c:pt>
                <c:pt idx="528">
                  <c:v>2.9999999999999997E-4</c:v>
                </c:pt>
                <c:pt idx="529">
                  <c:v>3.0059214460505598E-4</c:v>
                </c:pt>
                <c:pt idx="530">
                  <c:v>3.0236657479031998E-4</c:v>
                </c:pt>
                <c:pt idx="531">
                  <c:v>3.0531728644572802E-4</c:v>
                </c:pt>
                <c:pt idx="532">
                  <c:v>3.0943429529706201E-4</c:v>
                </c:pt>
                <c:pt idx="533">
                  <c:v>3.1470367068957901E-4</c:v>
                </c:pt>
                <c:pt idx="534">
                  <c:v>3.21107582724932E-4</c:v>
                </c:pt>
                <c:pt idx="535">
                  <c:v>3.28624362591904E-4</c:v>
                </c:pt>
                <c:pt idx="536">
                  <c:v>3.37228575886805E-4</c:v>
                </c:pt>
                <c:pt idx="537">
                  <c:v>3.4689110867544901E-4</c:v>
                </c:pt>
                <c:pt idx="538">
                  <c:v>3.5757926600547401E-4</c:v>
                </c:pt>
                <c:pt idx="539">
                  <c:v>3.69256882535736E-4</c:v>
                </c:pt>
                <c:pt idx="540">
                  <c:v>3.8188444490835802E-4</c:v>
                </c:pt>
                <c:pt idx="541">
                  <c:v>3.9541922544943298E-4</c:v>
                </c:pt>
                <c:pt idx="542">
                  <c:v>4.0981542674594197E-4</c:v>
                </c:pt>
                <c:pt idx="543">
                  <c:v>4.2502433660970899E-4</c:v>
                </c:pt>
                <c:pt idx="544">
                  <c:v>4.4099449290402901E-4</c:v>
                </c:pt>
                <c:pt idx="545">
                  <c:v>4.5767185767522098E-4</c:v>
                </c:pt>
                <c:pt idx="546">
                  <c:v>4.75000000000002E-4</c:v>
                </c:pt>
                <c:pt idx="547">
                  <c:v>4.9292028692983904E-4</c:v>
                </c:pt>
                <c:pt idx="548">
                  <c:v>5.1137208188629501E-4</c:v>
                </c:pt>
                <c:pt idx="549">
                  <c:v>5.3029294983601499E-4</c:v>
                </c:pt>
                <c:pt idx="550">
                  <c:v>5.4961886855111599E-4</c:v>
                </c:pt>
                <c:pt idx="551">
                  <c:v>5.6928444524014204E-4</c:v>
                </c:pt>
                <c:pt idx="552">
                  <c:v>5.8922313781657797E-4</c:v>
                </c:pt>
                <c:pt idx="553">
                  <c:v>6.0936748005617199E-4</c:v>
                </c:pt>
                <c:pt idx="554">
                  <c:v>6.2964930988133395E-4</c:v>
                </c:pt>
                <c:pt idx="555">
                  <c:v>6.4999999999999997E-4</c:v>
                </c:pt>
                <c:pt idx="556">
                  <c:v>6.7035069011866502E-4</c:v>
                </c:pt>
                <c:pt idx="557">
                  <c:v>6.9063251994382795E-4</c:v>
                </c:pt>
                <c:pt idx="558">
                  <c:v>7.10776862183421E-4</c:v>
                </c:pt>
                <c:pt idx="559">
                  <c:v>7.3071555475985703E-4</c:v>
                </c:pt>
                <c:pt idx="560">
                  <c:v>7.5038113144888297E-4</c:v>
                </c:pt>
                <c:pt idx="561">
                  <c:v>7.6970705016398398E-4</c:v>
                </c:pt>
                <c:pt idx="562">
                  <c:v>7.8862791811370396E-4</c:v>
                </c:pt>
                <c:pt idx="563">
                  <c:v>8.0707971307016004E-4</c:v>
                </c:pt>
                <c:pt idx="564">
                  <c:v>8.2499999999999696E-4</c:v>
                </c:pt>
                <c:pt idx="565">
                  <c:v>8.4232814232477798E-4</c:v>
                </c:pt>
                <c:pt idx="566">
                  <c:v>8.5900550709596996E-4</c:v>
                </c:pt>
                <c:pt idx="567">
                  <c:v>8.7497566339029002E-4</c:v>
                </c:pt>
                <c:pt idx="568">
                  <c:v>8.9018457325405699E-4</c:v>
                </c:pt>
                <c:pt idx="569">
                  <c:v>9.0458077455056604E-4</c:v>
                </c:pt>
                <c:pt idx="570">
                  <c:v>9.18115555091641E-4</c:v>
                </c:pt>
                <c:pt idx="571">
                  <c:v>9.3074311746426297E-4</c:v>
                </c:pt>
                <c:pt idx="572">
                  <c:v>9.4242073399452501E-4</c:v>
                </c:pt>
                <c:pt idx="573">
                  <c:v>9.5310889132455001E-4</c:v>
                </c:pt>
                <c:pt idx="574">
                  <c:v>9.6277142411319396E-4</c:v>
                </c:pt>
                <c:pt idx="575">
                  <c:v>9.7137563740809605E-4</c:v>
                </c:pt>
                <c:pt idx="576">
                  <c:v>9.7889241727506702E-4</c:v>
                </c:pt>
                <c:pt idx="577">
                  <c:v>9.8529632931041995E-4</c:v>
                </c:pt>
                <c:pt idx="578">
                  <c:v>9.9056570470293696E-4</c:v>
                </c:pt>
                <c:pt idx="579">
                  <c:v>9.9468271355427208E-4</c:v>
                </c:pt>
                <c:pt idx="580">
                  <c:v>9.9763342520967904E-4</c:v>
                </c:pt>
                <c:pt idx="581">
                  <c:v>9.9940785539494293E-4</c:v>
                </c:pt>
                <c:pt idx="582">
                  <c:v>1E-3</c:v>
                </c:pt>
                <c:pt idx="583">
                  <c:v>9.9860189859058996E-4</c:v>
                </c:pt>
                <c:pt idx="584">
                  <c:v>9.9441541311256392E-4</c:v>
                </c:pt>
                <c:pt idx="585">
                  <c:v>9.8746395609091309E-4</c:v>
                </c:pt>
                <c:pt idx="586">
                  <c:v>9.7778640289307201E-4</c:v>
                </c:pt>
                <c:pt idx="587">
                  <c:v>9.6543687432210502E-4</c:v>
                </c:pt>
                <c:pt idx="588">
                  <c:v>9.5048443395121397E-4</c:v>
                </c:pt>
                <c:pt idx="589">
                  <c:v>9.3301270189221795E-4</c:v>
                </c:pt>
                <c:pt idx="590">
                  <c:v>9.1311938715799696E-4</c:v>
                </c:pt>
                <c:pt idx="591">
                  <c:v>8.9091574123401497E-4</c:v>
                </c:pt>
                <c:pt idx="592">
                  <c:v>8.6652593591491495E-4</c:v>
                </c:pt>
                <c:pt idx="593">
                  <c:v>8.4008636888546295E-4</c:v>
                </c:pt>
                <c:pt idx="594">
                  <c:v>8.11744900929372E-4</c:v>
                </c:pt>
                <c:pt idx="595">
                  <c:v>7.8166002903181796E-4</c:v>
                </c:pt>
                <c:pt idx="596">
                  <c:v>7.5000000000000901E-4</c:v>
                </c:pt>
                <c:pt idx="597">
                  <c:v>7.1694186955877505E-4</c:v>
                </c:pt>
                <c:pt idx="598">
                  <c:v>6.8267051218319605E-4</c:v>
                </c:pt>
                <c:pt idx="599">
                  <c:v>6.4737758720545199E-4</c:v>
                </c:pt>
                <c:pt idx="600">
                  <c:v>6.1126046697815902E-4</c:v>
                </c:pt>
                <c:pt idx="601">
                  <c:v>5.7452113308809104E-4</c:v>
                </c:pt>
                <c:pt idx="602">
                  <c:v>5.37365046793218E-4</c:v>
                </c:pt>
                <c:pt idx="603">
                  <c:v>5.0000000000000695E-4</c:v>
                </c:pt>
                <c:pt idx="604">
                  <c:v>4.6263495320678099E-4</c:v>
                </c:pt>
                <c:pt idx="605">
                  <c:v>4.25478866911908E-4</c:v>
                </c:pt>
                <c:pt idx="606">
                  <c:v>3.8873953302184002E-4</c:v>
                </c:pt>
                <c:pt idx="607">
                  <c:v>3.52622412794547E-4</c:v>
                </c:pt>
                <c:pt idx="608">
                  <c:v>3.1732948781680299E-4</c:v>
                </c:pt>
                <c:pt idx="609">
                  <c:v>2.8305813044122302E-4</c:v>
                </c:pt>
                <c:pt idx="610">
                  <c:v>2.5000000000000402E-4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1-4BCB-8E6C-7FE337AC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459760"/>
        <c:axId val="1960456400"/>
      </c:lineChart>
      <c:catAx>
        <c:axId val="196045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60456400"/>
        <c:crosses val="autoZero"/>
        <c:auto val="1"/>
        <c:lblAlgn val="ctr"/>
        <c:lblOffset val="100"/>
        <c:noMultiLvlLbl val="0"/>
      </c:catAx>
      <c:valAx>
        <c:axId val="19604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6045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Blad3!$F$1</c:f>
              <c:strCache>
                <c:ptCount val="1"/>
                <c:pt idx="0">
                  <c:v>H2 Concentration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Blad3!$F$2:$F$1202</c:f>
              <c:numCache>
                <c:formatCode>0.000000000000000000</c:formatCode>
                <c:ptCount val="1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3.3281945032724929E-5</c:v>
                </c:pt>
                <c:pt idx="214">
                  <c:v>7.3604414933996879E-5</c:v>
                </c:pt>
                <c:pt idx="215">
                  <c:v>1.2146656687493033E-4</c:v>
                </c:pt>
                <c:pt idx="216">
                  <c:v>1.7730368184784126E-4</c:v>
                </c:pt>
                <c:pt idx="217">
                  <c:v>2.4148390424579038E-4</c:v>
                </c:pt>
                <c:pt idx="218">
                  <c:v>3.1430549197053258E-4</c:v>
                </c:pt>
                <c:pt idx="219">
                  <c:v>3.9599459800060589E-4</c:v>
                </c:pt>
                <c:pt idx="220">
                  <c:v>4.8670360030653539E-4</c:v>
                </c:pt>
                <c:pt idx="221">
                  <c:v>5.8650999282684984E-4</c:v>
                </c:pt>
                <c:pt idx="222">
                  <c:v>6.9541584594857259E-4</c:v>
                </c:pt>
                <c:pt idx="223">
                  <c:v>8.1334784060152596E-4</c:v>
                </c:pt>
                <c:pt idx="224">
                  <c:v>9.401578757102715E-4</c:v>
                </c:pt>
                <c:pt idx="225">
                  <c:v>1.0756242443838145E-3</c:v>
                </c:pt>
                <c:pt idx="226">
                  <c:v>1.2194533698947742E-3</c:v>
                </c:pt>
                <c:pt idx="227">
                  <c:v>1.3712820882393632E-3</c:v>
                </c:pt>
                <c:pt idx="228">
                  <c:v>1.5306804599096782E-3</c:v>
                </c:pt>
                <c:pt idx="229">
                  <c:v>1.6971550894821353E-3</c:v>
                </c:pt>
                <c:pt idx="230">
                  <c:v>1.8701529277610905E-3</c:v>
                </c:pt>
                <c:pt idx="231">
                  <c:v>2.0490655275441413E-3</c:v>
                </c:pt>
                <c:pt idx="232">
                  <c:v>2.2332337206231903E-3</c:v>
                </c:pt>
                <c:pt idx="233">
                  <c:v>2.4219526804295289E-3</c:v>
                </c:pt>
                <c:pt idx="234">
                  <c:v>2.6144773317961422E-3</c:v>
                </c:pt>
                <c:pt idx="235">
                  <c:v>2.8100280666686897E-3</c:v>
                </c:pt>
                <c:pt idx="236">
                  <c:v>3.0077967222680796E-3</c:v>
                </c:pt>
                <c:pt idx="237">
                  <c:v>3.206952776210175E-3</c:v>
                </c:pt>
                <c:pt idx="238">
                  <c:v>3.4066497114369249E-3</c:v>
                </c:pt>
                <c:pt idx="239">
                  <c:v>3.6060315025208504E-3</c:v>
                </c:pt>
                <c:pt idx="240">
                  <c:v>3.8042391739810553E-3</c:v>
                </c:pt>
                <c:pt idx="241">
                  <c:v>4.0004536559432946E-3</c:v>
                </c:pt>
                <c:pt idx="242">
                  <c:v>4.1939030935027009E-3</c:v>
                </c:pt>
                <c:pt idx="243">
                  <c:v>4.3838348236082125E-3</c:v>
                </c:pt>
                <c:pt idx="244">
                  <c:v>4.5695237108554715E-3</c:v>
                </c:pt>
                <c:pt idx="245">
                  <c:v>4.7502801809602563E-3</c:v>
                </c:pt>
                <c:pt idx="246">
                  <c:v>4.9254578639018245E-3</c:v>
                </c:pt>
                <c:pt idx="247">
                  <c:v>5.0944607630020507E-3</c:v>
                </c:pt>
                <c:pt idx="248">
                  <c:v>5.2567498714001567E-3</c:v>
                </c:pt>
                <c:pt idx="249">
                  <c:v>5.4118491634372124E-3</c:v>
                </c:pt>
                <c:pt idx="250">
                  <c:v>5.559350895313158E-3</c:v>
                </c:pt>
                <c:pt idx="251">
                  <c:v>5.6989201569468337E-3</c:v>
                </c:pt>
                <c:pt idx="252">
                  <c:v>5.830298625173415E-3</c:v>
                </c:pt>
                <c:pt idx="253">
                  <c:v>5.9533074771639201E-3</c:v>
                </c:pt>
                <c:pt idx="254">
                  <c:v>6.0678494321522013E-3</c:v>
                </c:pt>
                <c:pt idx="255">
                  <c:v>6.1739098991052338E-3</c:v>
                </c:pt>
                <c:pt idx="256">
                  <c:v>6.271557217767937E-3</c:v>
                </c:pt>
                <c:pt idx="257">
                  <c:v>6.3609419904469243E-3</c:v>
                </c:pt>
                <c:pt idx="258">
                  <c:v>6.4422955118595398E-3</c:v>
                </c:pt>
                <c:pt idx="259">
                  <c:v>6.5159273142563296E-3</c:v>
                </c:pt>
                <c:pt idx="260">
                  <c:v>6.5822218547182936E-3</c:v>
                </c:pt>
                <c:pt idx="261">
                  <c:v>6.6416343809287013E-3</c:v>
                </c:pt>
                <c:pt idx="262">
                  <c:v>6.6946860207200689E-3</c:v>
                </c:pt>
                <c:pt idx="263">
                  <c:v>6.7419581492012947E-3</c:v>
                </c:pt>
                <c:pt idx="264">
                  <c:v>6.7840860951849154E-3</c:v>
                </c:pt>
                <c:pt idx="265">
                  <c:v>6.821752255873159E-3</c:v>
                </c:pt>
                <c:pt idx="266">
                  <c:v>6.8556786952446809E-3</c:v>
                </c:pt>
                <c:pt idx="267">
                  <c:v>6.8866193072404961E-3</c:v>
                </c:pt>
                <c:pt idx="268">
                  <c:v>6.9153516296157668E-3</c:v>
                </c:pt>
                <c:pt idx="269">
                  <c:v>6.9426683981513825E-3</c:v>
                </c:pt>
                <c:pt idx="270">
                  <c:v>6.9693689337639794E-3</c:v>
                </c:pt>
                <c:pt idx="271">
                  <c:v>6.99595260268711E-3</c:v>
                </c:pt>
                <c:pt idx="272">
                  <c:v>7.0226161453854847E-3</c:v>
                </c:pt>
                <c:pt idx="273">
                  <c:v>7.0495524790171182E-3</c:v>
                </c:pt>
                <c:pt idx="274">
                  <c:v>7.0769492551255621E-3</c:v>
                </c:pt>
                <c:pt idx="275">
                  <c:v>7.1049874571978986E-3</c:v>
                </c:pt>
                <c:pt idx="276">
                  <c:v>7.1338400487635824E-3</c:v>
                </c:pt>
                <c:pt idx="277">
                  <c:v>7.1636706823246131E-3</c:v>
                </c:pt>
                <c:pt idx="278">
                  <c:v>7.1946324789444772E-3</c:v>
                </c:pt>
                <c:pt idx="279">
                  <c:v>7.2268668877856091E-3</c:v>
                </c:pt>
                <c:pt idx="280">
                  <c:v>7.260502634276569E-3</c:v>
                </c:pt>
                <c:pt idx="281">
                  <c:v>7.2956547649156598E-3</c:v>
                </c:pt>
                <c:pt idx="282">
                  <c:v>7.332423795982204E-3</c:v>
                </c:pt>
                <c:pt idx="283">
                  <c:v>7.3708949726358766E-3</c:v>
                </c:pt>
                <c:pt idx="284">
                  <c:v>7.4111376440443907E-3</c:v>
                </c:pt>
                <c:pt idx="285">
                  <c:v>7.4532047592967476E-3</c:v>
                </c:pt>
                <c:pt idx="286">
                  <c:v>7.4971324879399975E-3</c:v>
                </c:pt>
                <c:pt idx="287">
                  <c:v>7.54293996802902E-3</c:v>
                </c:pt>
                <c:pt idx="288">
                  <c:v>7.5906291836083063E-3</c:v>
                </c:pt>
                <c:pt idx="289">
                  <c:v>7.6401849725597415E-3</c:v>
                </c:pt>
                <c:pt idx="290">
                  <c:v>7.6915751647581082E-3</c:v>
                </c:pt>
                <c:pt idx="291">
                  <c:v>7.7447508494844107E-3</c:v>
                </c:pt>
                <c:pt idx="292">
                  <c:v>7.7996467700632748E-3</c:v>
                </c:pt>
                <c:pt idx="293">
                  <c:v>7.8561818427224858E-3</c:v>
                </c:pt>
                <c:pt idx="294">
                  <c:v>7.914259795727286E-3</c:v>
                </c:pt>
                <c:pt idx="295">
                  <c:v>7.9737699239266387E-3</c:v>
                </c:pt>
                <c:pt idx="296">
                  <c:v>8.0345879529704137E-3</c:v>
                </c:pt>
                <c:pt idx="297">
                  <c:v>8.0965770066215997E-3</c:v>
                </c:pt>
                <c:pt idx="298">
                  <c:v>8.1595886698032083E-3</c:v>
                </c:pt>
                <c:pt idx="299">
                  <c:v>8.2234641392907905E-3</c:v>
                </c:pt>
                <c:pt idx="300">
                  <c:v>8.2880354532944914E-3</c:v>
                </c:pt>
                <c:pt idx="301">
                  <c:v>8.3531267905741693E-3</c:v>
                </c:pt>
                <c:pt idx="302">
                  <c:v>8.4185558292018785E-3</c:v>
                </c:pt>
                <c:pt idx="303">
                  <c:v>8.48413515463208E-3</c:v>
                </c:pt>
                <c:pt idx="304">
                  <c:v>8.5496737063646272E-3</c:v>
                </c:pt>
                <c:pt idx="305">
                  <c:v>8.6149782521919155E-3</c:v>
                </c:pt>
                <c:pt idx="306">
                  <c:v>8.6798548788115815E-3</c:v>
                </c:pt>
                <c:pt idx="307">
                  <c:v>8.7441327071990076E-3</c:v>
                </c:pt>
                <c:pt idx="308">
                  <c:v>8.8076646272137789E-3</c:v>
                </c:pt>
                <c:pt idx="309">
                  <c:v>8.8703052305256162E-3</c:v>
                </c:pt>
                <c:pt idx="310">
                  <c:v>8.9319111399136335E-3</c:v>
                </c:pt>
                <c:pt idx="311">
                  <c:v>8.9923413339652262E-3</c:v>
                </c:pt>
                <c:pt idx="312">
                  <c:v>9.051457466439105E-3</c:v>
                </c:pt>
                <c:pt idx="313">
                  <c:v>9.1091241795689618E-3</c:v>
                </c:pt>
                <c:pt idx="314">
                  <c:v>9.1652094105980596E-3</c:v>
                </c:pt>
                <c:pt idx="315">
                  <c:v>9.2195846908503E-3</c:v>
                </c:pt>
                <c:pt idx="316">
                  <c:v>9.2721254366603268E-3</c:v>
                </c:pt>
                <c:pt idx="317">
                  <c:v>9.3227112315035533E-3</c:v>
                </c:pt>
                <c:pt idx="318">
                  <c:v>9.3712260986870393E-3</c:v>
                </c:pt>
                <c:pt idx="319">
                  <c:v>9.4175587639834229E-3</c:v>
                </c:pt>
                <c:pt idx="320">
                  <c:v>9.4616029076130346E-3</c:v>
                </c:pt>
                <c:pt idx="321">
                  <c:v>9.5032574050032716E-3</c:v>
                </c:pt>
                <c:pt idx="322">
                  <c:v>9.5424265557798957E-3</c:v>
                </c:pt>
                <c:pt idx="323">
                  <c:v>9.5790203004714938E-3</c:v>
                </c:pt>
                <c:pt idx="324">
                  <c:v>9.6129544244361719E-3</c:v>
                </c:pt>
                <c:pt idx="325">
                  <c:v>9.6441507485485398E-3</c:v>
                </c:pt>
                <c:pt idx="326">
                  <c:v>9.6725373062150101E-3</c:v>
                </c:pt>
                <c:pt idx="327">
                  <c:v>9.6980485063163854E-3</c:v>
                </c:pt>
                <c:pt idx="328">
                  <c:v>9.7206252817086548E-3</c:v>
                </c:pt>
                <c:pt idx="329">
                  <c:v>9.7402152229455388E-3</c:v>
                </c:pt>
                <c:pt idx="330">
                  <c:v>9.7567726969199058E-3</c:v>
                </c:pt>
                <c:pt idx="331">
                  <c:v>9.7702589501552552E-3</c:v>
                </c:pt>
                <c:pt idx="332">
                  <c:v>9.7806421965132787E-3</c:v>
                </c:pt>
                <c:pt idx="333">
                  <c:v>9.7878976891188421E-3</c:v>
                </c:pt>
                <c:pt idx="334">
                  <c:v>9.7920077763393974E-3</c:v>
                </c:pt>
                <c:pt idx="335">
                  <c:v>9.7929619416920483E-3</c:v>
                </c:pt>
                <c:pt idx="336">
                  <c:v>9.7907568275878432E-3</c:v>
                </c:pt>
                <c:pt idx="337">
                  <c:v>9.785396242859512E-3</c:v>
                </c:pt>
                <c:pt idx="338">
                  <c:v>9.7768911540555802E-3</c:v>
                </c:pt>
                <c:pt idx="339">
                  <c:v>9.7652596605205689E-3</c:v>
                </c:pt>
                <c:pt idx="340">
                  <c:v>9.7505269533177657E-3</c:v>
                </c:pt>
                <c:pt idx="341">
                  <c:v>9.7327252580875594E-3</c:v>
                </c:pt>
                <c:pt idx="342">
                  <c:v>9.7118937619708207E-3</c:v>
                </c:pt>
                <c:pt idx="343">
                  <c:v>9.6880785247628557E-3</c:v>
                </c:pt>
                <c:pt idx="344">
                  <c:v>9.661332374499166E-3</c:v>
                </c:pt>
                <c:pt idx="345">
                  <c:v>9.6317147877095846E-3</c:v>
                </c:pt>
                <c:pt idx="346">
                  <c:v>9.5992917546120198E-3</c:v>
                </c:pt>
                <c:pt idx="347">
                  <c:v>9.5641356295511817E-3</c:v>
                </c:pt>
                <c:pt idx="348">
                  <c:v>9.5263249670210996E-3</c:v>
                </c:pt>
                <c:pt idx="349">
                  <c:v>9.4859443436428863E-3</c:v>
                </c:pt>
                <c:pt idx="350">
                  <c:v>9.443084166501017E-3</c:v>
                </c:pt>
                <c:pt idx="351">
                  <c:v>9.3669963431686036E-3</c:v>
                </c:pt>
                <c:pt idx="352">
                  <c:v>9.2915215988639104E-3</c:v>
                </c:pt>
                <c:pt idx="353">
                  <c:v>9.2166549936914619E-3</c:v>
                </c:pt>
                <c:pt idx="354">
                  <c:v>9.1423916275590773E-3</c:v>
                </c:pt>
                <c:pt idx="355">
                  <c:v>9.068726639857163E-3</c:v>
                </c:pt>
                <c:pt idx="356">
                  <c:v>8.9956552091405764E-3</c:v>
                </c:pt>
                <c:pt idx="357">
                  <c:v>8.9231725528130506E-3</c:v>
                </c:pt>
                <c:pt idx="358">
                  <c:v>8.8512739268141842E-3</c:v>
                </c:pt>
                <c:pt idx="359">
                  <c:v>8.7799546253089257E-3</c:v>
                </c:pt>
                <c:pt idx="360">
                  <c:v>8.7092099803795734E-3</c:v>
                </c:pt>
                <c:pt idx="361">
                  <c:v>8.6390353617202612E-3</c:v>
                </c:pt>
                <c:pt idx="362">
                  <c:v>8.5694261763338952E-3</c:v>
                </c:pt>
                <c:pt idx="363">
                  <c:v>8.5003778682315404E-3</c:v>
                </c:pt>
                <c:pt idx="364">
                  <c:v>8.4318859181342232E-3</c:v>
                </c:pt>
                <c:pt idx="365">
                  <c:v>8.363945843177149E-3</c:v>
                </c:pt>
                <c:pt idx="366">
                  <c:v>8.2965531966162822E-3</c:v>
                </c:pt>
                <c:pt idx="367">
                  <c:v>8.229703567537312E-3</c:v>
                </c:pt>
                <c:pt idx="368">
                  <c:v>8.1633925805669472E-3</c:v>
                </c:pt>
                <c:pt idx="369">
                  <c:v>8.0976158955865518E-3</c:v>
                </c:pt>
                <c:pt idx="370">
                  <c:v>8.0323692074480719E-3</c:v>
                </c:pt>
                <c:pt idx="371">
                  <c:v>7.9676482456922607E-3</c:v>
                </c:pt>
                <c:pt idx="372">
                  <c:v>7.9034487742691787E-3</c:v>
                </c:pt>
                <c:pt idx="373">
                  <c:v>7.8397665912609358E-3</c:v>
                </c:pt>
                <c:pt idx="374">
                  <c:v>7.7765975286066711E-3</c:v>
                </c:pt>
                <c:pt idx="375">
                  <c:v>7.7139374518297487E-3</c:v>
                </c:pt>
                <c:pt idx="376">
                  <c:v>7.6517822597671559E-3</c:v>
                </c:pt>
                <c:pt idx="377">
                  <c:v>7.5901278843010763E-3</c:v>
                </c:pt>
                <c:pt idx="378">
                  <c:v>7.5289702900926255E-3</c:v>
                </c:pt>
                <c:pt idx="379">
                  <c:v>7.4683054743177376E-3</c:v>
                </c:pt>
                <c:pt idx="380">
                  <c:v>7.4081294664051743E-3</c:v>
                </c:pt>
                <c:pt idx="381">
                  <c:v>7.3484383277766458E-3</c:v>
                </c:pt>
                <c:pt idx="382">
                  <c:v>7.2892281515890322E-3</c:v>
                </c:pt>
                <c:pt idx="383">
                  <c:v>7.2304950624786707E-3</c:v>
                </c:pt>
                <c:pt idx="384">
                  <c:v>7.172235216307713E-3</c:v>
                </c:pt>
                <c:pt idx="385">
                  <c:v>7.1144447999125227E-3</c:v>
                </c:pt>
                <c:pt idx="386">
                  <c:v>7.0571200308540971E-3</c:v>
                </c:pt>
                <c:pt idx="387">
                  <c:v>7.0002571571705077E-3</c:v>
                </c:pt>
                <c:pt idx="388">
                  <c:v>6.9438524571313253E-3</c:v>
                </c:pt>
                <c:pt idx="389">
                  <c:v>6.8879022389940333E-3</c:v>
                </c:pt>
                <c:pt idx="390">
                  <c:v>6.8324028407623959E-3</c:v>
                </c:pt>
                <c:pt idx="391">
                  <c:v>6.7773506299467819E-3</c:v>
                </c:pt>
                <c:pt idx="392">
                  <c:v>6.7227420033264098E-3</c:v>
                </c:pt>
                <c:pt idx="393">
                  <c:v>6.6685733867135159E-3</c:v>
                </c:pt>
                <c:pt idx="394">
                  <c:v>6.614841234719419E-3</c:v>
                </c:pt>
                <c:pt idx="395">
                  <c:v>6.5615420305224726E-3</c:v>
                </c:pt>
                <c:pt idx="396">
                  <c:v>6.5086722856378858E-3</c:v>
                </c:pt>
                <c:pt idx="397">
                  <c:v>6.456228539689397E-3</c:v>
                </c:pt>
                <c:pt idx="398">
                  <c:v>6.4042073601827884E-3</c:v>
                </c:pt>
                <c:pt idx="399">
                  <c:v>6.3526053422812284E-3</c:v>
                </c:pt>
                <c:pt idx="400">
                  <c:v>6.3014191085824216E-3</c:v>
                </c:pt>
                <c:pt idx="401">
                  <c:v>6.2506453088975499E-3</c:v>
                </c:pt>
                <c:pt idx="402">
                  <c:v>6.2002806200320065E-3</c:v>
                </c:pt>
                <c:pt idx="403">
                  <c:v>6.1503217455678837E-3</c:v>
                </c:pt>
                <c:pt idx="404">
                  <c:v>6.1007654156482218E-3</c:v>
                </c:pt>
                <c:pt idx="405">
                  <c:v>6.051608386762994E-3</c:v>
                </c:pt>
                <c:pt idx="406">
                  <c:v>6.0028474415368144E-3</c:v>
                </c:pt>
                <c:pt idx="407">
                  <c:v>5.9544793885183567E-3</c:v>
                </c:pt>
                <c:pt idx="408">
                  <c:v>5.9065010619714755E-3</c:v>
                </c:pt>
                <c:pt idx="409">
                  <c:v>5.8589093216679993E-3</c:v>
                </c:pt>
                <c:pt idx="410">
                  <c:v>5.8117010526822031E-3</c:v>
                </c:pt>
                <c:pt idx="411">
                  <c:v>5.7648731651869329E-3</c:v>
                </c:pt>
                <c:pt idx="412">
                  <c:v>5.7184225942513746E-3</c:v>
                </c:pt>
                <c:pt idx="413">
                  <c:v>5.6723462996404487E-3</c:v>
                </c:pt>
                <c:pt idx="414">
                  <c:v>5.626641265615827E-3</c:v>
                </c:pt>
                <c:pt idx="415">
                  <c:v>5.5813045007385457E-3</c:v>
                </c:pt>
                <c:pt idx="416">
                  <c:v>5.536333037673217E-3</c:v>
                </c:pt>
                <c:pt idx="417">
                  <c:v>5.491723932993812E-3</c:v>
                </c:pt>
                <c:pt idx="418">
                  <c:v>5.4474742669910117E-3</c:v>
                </c:pt>
                <c:pt idx="419">
                  <c:v>5.4035811434811048E-3</c:v>
                </c:pt>
                <c:pt idx="420">
                  <c:v>5.3600416896164372E-3</c:v>
                </c:pt>
                <c:pt idx="421">
                  <c:v>5.3168530556973754E-3</c:v>
                </c:pt>
                <c:pt idx="422">
                  <c:v>5.2740124149857938E-3</c:v>
                </c:pt>
                <c:pt idx="423">
                  <c:v>5.2315169635200592E-3</c:v>
                </c:pt>
                <c:pt idx="424">
                  <c:v>5.1893639199315127E-3</c:v>
                </c:pt>
                <c:pt idx="425">
                  <c:v>5.1475505252624237E-3</c:v>
                </c:pt>
                <c:pt idx="426">
                  <c:v>5.106074042785411E-3</c:v>
                </c:pt>
                <c:pt idx="427">
                  <c:v>5.0649317578243293E-3</c:v>
                </c:pt>
                <c:pt idx="428">
                  <c:v>5.0241209775765813E-3</c:v>
                </c:pt>
                <c:pt idx="429">
                  <c:v>4.9836390309368787E-3</c:v>
                </c:pt>
                <c:pt idx="430">
                  <c:v>4.9434832683224123E-3</c:v>
                </c:pt>
                <c:pt idx="431">
                  <c:v>4.9036510614994351E-3</c:v>
                </c:pt>
                <c:pt idx="432">
                  <c:v>4.8641398034112411E-3</c:v>
                </c:pt>
                <c:pt idx="433">
                  <c:v>4.8249469080075312E-3</c:v>
                </c:pt>
                <c:pt idx="434">
                  <c:v>4.7860698100751532E-3</c:v>
                </c:pt>
                <c:pt idx="435">
                  <c:v>4.7475059650702095E-3</c:v>
                </c:pt>
                <c:pt idx="436">
                  <c:v>4.7092528489515086E-3</c:v>
                </c:pt>
                <c:pt idx="437">
                  <c:v>4.671307958015368E-3</c:v>
                </c:pt>
                <c:pt idx="438">
                  <c:v>4.6336688087317435E-3</c:v>
                </c:pt>
                <c:pt idx="439">
                  <c:v>4.5963329375816797E-3</c:v>
                </c:pt>
                <c:pt idx="440">
                  <c:v>4.5592979008960708E-3</c:v>
                </c:pt>
                <c:pt idx="441">
                  <c:v>4.522561274695718E-3</c:v>
                </c:pt>
                <c:pt idx="442">
                  <c:v>4.4861206545326812E-3</c:v>
                </c:pt>
                <c:pt idx="443">
                  <c:v>4.4499736553329011E-3</c:v>
                </c:pt>
                <c:pt idx="444">
                  <c:v>4.4141179112400985E-3</c:v>
                </c:pt>
                <c:pt idx="445">
                  <c:v>4.3785510754609236E-3</c:v>
                </c:pt>
                <c:pt idx="446">
                  <c:v>4.3432708201113562E-3</c:v>
                </c:pt>
                <c:pt idx="447">
                  <c:v>4.3082748360643453E-3</c:v>
                </c:pt>
                <c:pt idx="448">
                  <c:v>4.2735608327986729E-3</c:v>
                </c:pt>
                <c:pt idx="449">
                  <c:v>4.2391265382490367E-3</c:v>
                </c:pt>
                <c:pt idx="450">
                  <c:v>4.204969698657344E-3</c:v>
                </c:pt>
                <c:pt idx="451">
                  <c:v>4.2052520067628399E-3</c:v>
                </c:pt>
                <c:pt idx="452">
                  <c:v>4.208799637423659E-3</c:v>
                </c:pt>
                <c:pt idx="453">
                  <c:v>4.2156693475891007E-3</c:v>
                </c:pt>
                <c:pt idx="454">
                  <c:v>4.2259060992999179E-3</c:v>
                </c:pt>
                <c:pt idx="455">
                  <c:v>4.239542912015214E-3</c:v>
                </c:pt>
                <c:pt idx="456">
                  <c:v>4.2566007553132851E-3</c:v>
                </c:pt>
                <c:pt idx="457">
                  <c:v>4.2770884823297751E-3</c:v>
                </c:pt>
                <c:pt idx="458">
                  <c:v>4.3010028041586233E-3</c:v>
                </c:pt>
                <c:pt idx="459">
                  <c:v>4.3283283053027512E-3</c:v>
                </c:pt>
                <c:pt idx="460">
                  <c:v>4.3590375001224561E-3</c:v>
                </c:pt>
                <c:pt idx="461">
                  <c:v>4.3930909300908009E-3</c:v>
                </c:pt>
                <c:pt idx="462">
                  <c:v>4.430437301527217E-3</c:v>
                </c:pt>
                <c:pt idx="463">
                  <c:v>4.4710136633434993E-3</c:v>
                </c:pt>
                <c:pt idx="464">
                  <c:v>4.5147456242010942E-3</c:v>
                </c:pt>
                <c:pt idx="465">
                  <c:v>4.5615476083451078E-3</c:v>
                </c:pt>
                <c:pt idx="466">
                  <c:v>4.6113231492496739E-3</c:v>
                </c:pt>
                <c:pt idx="467">
                  <c:v>4.6639652200813342E-3</c:v>
                </c:pt>
                <c:pt idx="468">
                  <c:v>4.7193565998625044E-3</c:v>
                </c:pt>
                <c:pt idx="469">
                  <c:v>4.7773702740963389E-3</c:v>
                </c:pt>
                <c:pt idx="470">
                  <c:v>4.8378698684976192E-3</c:v>
                </c:pt>
                <c:pt idx="471">
                  <c:v>4.9007101143623685E-3</c:v>
                </c:pt>
                <c:pt idx="472">
                  <c:v>4.9657373440017399E-3</c:v>
                </c:pt>
                <c:pt idx="473">
                  <c:v>5.0327900145640822E-3</c:v>
                </c:pt>
                <c:pt idx="474">
                  <c:v>5.1016992584729482E-3</c:v>
                </c:pt>
                <c:pt idx="475">
                  <c:v>5.1722894586188235E-3</c:v>
                </c:pt>
                <c:pt idx="476">
                  <c:v>5.2443788463585337E-3</c:v>
                </c:pt>
                <c:pt idx="477">
                  <c:v>5.3177801202991459E-3</c:v>
                </c:pt>
                <c:pt idx="478">
                  <c:v>5.3923010837728363E-3</c:v>
                </c:pt>
                <c:pt idx="479">
                  <c:v>5.4677452988459614E-3</c:v>
                </c:pt>
                <c:pt idx="480">
                  <c:v>5.5439127546496013E-3</c:v>
                </c:pt>
                <c:pt idx="481">
                  <c:v>5.6206005477704045E-3</c:v>
                </c:pt>
                <c:pt idx="482">
                  <c:v>5.6976035723997386E-3</c:v>
                </c:pt>
                <c:pt idx="483">
                  <c:v>5.7747152179061373E-3</c:v>
                </c:pt>
                <c:pt idx="484">
                  <c:v>5.8517280714709156E-3</c:v>
                </c:pt>
                <c:pt idx="485">
                  <c:v>5.9284346234096813E-3</c:v>
                </c:pt>
                <c:pt idx="486">
                  <c:v>6.0046279727933886E-3</c:v>
                </c:pt>
                <c:pt idx="487">
                  <c:v>6.0800860750348474E-3</c:v>
                </c:pt>
                <c:pt idx="488">
                  <c:v>6.1545728971870144E-3</c:v>
                </c:pt>
                <c:pt idx="489">
                  <c:v>6.2278563397240765E-3</c:v>
                </c:pt>
                <c:pt idx="490">
                  <c:v>6.2997095466092983E-3</c:v>
                </c:pt>
                <c:pt idx="491">
                  <c:v>6.3699121859418714E-3</c:v>
                </c:pt>
                <c:pt idx="492">
                  <c:v>6.4382516940216569E-3</c:v>
                </c:pt>
                <c:pt idx="493">
                  <c:v>6.5045244758752752E-3</c:v>
                </c:pt>
                <c:pt idx="494">
                  <c:v>6.5685370555305005E-3</c:v>
                </c:pt>
                <c:pt idx="495">
                  <c:v>6.630107169606902E-3</c:v>
                </c:pt>
                <c:pt idx="496">
                  <c:v>6.6890647981077064E-3</c:v>
                </c:pt>
                <c:pt idx="497">
                  <c:v>6.745253126649026E-3</c:v>
                </c:pt>
                <c:pt idx="498">
                  <c:v>6.7985294347460102E-3</c:v>
                </c:pt>
                <c:pt idx="499">
                  <c:v>6.8487659051890224E-3</c:v>
                </c:pt>
                <c:pt idx="500">
                  <c:v>6.8958503499842016E-3</c:v>
                </c:pt>
                <c:pt idx="501">
                  <c:v>6.9396868487993958E-3</c:v>
                </c:pt>
                <c:pt idx="502">
                  <c:v>6.9801962963457302E-3</c:v>
                </c:pt>
                <c:pt idx="503">
                  <c:v>7.017316855634355E-3</c:v>
                </c:pt>
                <c:pt idx="504">
                  <c:v>7.0510043145742933E-3</c:v>
                </c:pt>
                <c:pt idx="505">
                  <c:v>7.0812323439178333E-3</c:v>
                </c:pt>
                <c:pt idx="506">
                  <c:v>7.107992655111659E-3</c:v>
                </c:pt>
                <c:pt idx="507">
                  <c:v>7.1312950571716235E-3</c:v>
                </c:pt>
                <c:pt idx="508">
                  <c:v>7.1511674122638012E-3</c:v>
                </c:pt>
                <c:pt idx="509">
                  <c:v>7.1676554902408915E-3</c:v>
                </c:pt>
                <c:pt idx="510">
                  <c:v>7.1808227229481726E-3</c:v>
                </c:pt>
                <c:pt idx="511">
                  <c:v>7.1907498596736653E-3</c:v>
                </c:pt>
                <c:pt idx="512">
                  <c:v>7.1975345256700667E-3</c:v>
                </c:pt>
                <c:pt idx="513">
                  <c:v>7.2012906862180155E-3</c:v>
                </c:pt>
                <c:pt idx="514">
                  <c:v>7.2021480192285313E-3</c:v>
                </c:pt>
                <c:pt idx="515">
                  <c:v>7.2002511998939421E-3</c:v>
                </c:pt>
                <c:pt idx="516">
                  <c:v>7.1957591013884666E-3</c:v>
                </c:pt>
                <c:pt idx="517">
                  <c:v>7.1888439160890895E-3</c:v>
                </c:pt>
                <c:pt idx="518">
                  <c:v>7.1796902022318639E-3</c:v>
                </c:pt>
                <c:pt idx="519">
                  <c:v>7.1684938613357577E-3</c:v>
                </c:pt>
                <c:pt idx="520">
                  <c:v>7.1554610521133181E-3</c:v>
                </c:pt>
                <c:pt idx="521">
                  <c:v>7.1408070469426328E-3</c:v>
                </c:pt>
                <c:pt idx="522">
                  <c:v>7.1247550372962806E-3</c:v>
                </c:pt>
                <c:pt idx="523">
                  <c:v>7.1075348948083997E-3</c:v>
                </c:pt>
                <c:pt idx="524">
                  <c:v>7.0893818949090952E-3</c:v>
                </c:pt>
                <c:pt idx="525">
                  <c:v>7.0705354101647374E-3</c:v>
                </c:pt>
                <c:pt idx="526">
                  <c:v>7.0512375806321354E-3</c:v>
                </c:pt>
                <c:pt idx="527">
                  <c:v>7.0317319686630632E-3</c:v>
                </c:pt>
                <c:pt idx="528">
                  <c:v>7.0122622056826367E-3</c:v>
                </c:pt>
                <c:pt idx="529">
                  <c:v>6.9930227239962221E-3</c:v>
                </c:pt>
                <c:pt idx="530">
                  <c:v>6.9741582263800773E-3</c:v>
                </c:pt>
                <c:pt idx="531">
                  <c:v>6.9558115053847914E-3</c:v>
                </c:pt>
                <c:pt idx="532">
                  <c:v>6.9381229653385596E-3</c:v>
                </c:pt>
                <c:pt idx="533">
                  <c:v>6.9212301523898269E-3</c:v>
                </c:pt>
                <c:pt idx="534">
                  <c:v>6.9052672941797852E-3</c:v>
                </c:pt>
                <c:pt idx="535">
                  <c:v>6.890364850702684E-3</c:v>
                </c:pt>
                <c:pt idx="536">
                  <c:v>6.8766490778740157E-3</c:v>
                </c:pt>
                <c:pt idx="537">
                  <c:v>6.8642416052836644E-3</c:v>
                </c:pt>
                <c:pt idx="538">
                  <c:v>6.8532590295630781E-3</c:v>
                </c:pt>
                <c:pt idx="539">
                  <c:v>6.8438125247427158E-3</c:v>
                </c:pt>
                <c:pt idx="540">
                  <c:v>6.8360074709185037E-3</c:v>
                </c:pt>
                <c:pt idx="541">
                  <c:v>6.8299431024841078E-3</c:v>
                </c:pt>
                <c:pt idx="542">
                  <c:v>6.8257121771195953E-3</c:v>
                </c:pt>
                <c:pt idx="543">
                  <c:v>6.8234006666568377E-3</c:v>
                </c:pt>
                <c:pt idx="544">
                  <c:v>6.8230874708679863E-3</c:v>
                </c:pt>
                <c:pt idx="545">
                  <c:v>6.8248441551457609E-3</c:v>
                </c:pt>
                <c:pt idx="546">
                  <c:v>6.8287347129634786E-3</c:v>
                </c:pt>
                <c:pt idx="547">
                  <c:v>6.8348153539188787E-3</c:v>
                </c:pt>
                <c:pt idx="548">
                  <c:v>6.8431343180792321E-3</c:v>
                </c:pt>
                <c:pt idx="549">
                  <c:v>6.8537317172562328E-3</c:v>
                </c:pt>
                <c:pt idx="550">
                  <c:v>6.8666394037480453E-3</c:v>
                </c:pt>
                <c:pt idx="551">
                  <c:v>6.881880866992934E-3</c:v>
                </c:pt>
                <c:pt idx="552">
                  <c:v>6.8994711584844477E-3</c:v>
                </c:pt>
                <c:pt idx="553">
                  <c:v>6.9194168452025194E-3</c:v>
                </c:pt>
                <c:pt idx="554">
                  <c:v>6.9417159917183457E-3</c:v>
                </c:pt>
                <c:pt idx="555">
                  <c:v>6.9663581710338665E-3</c:v>
                </c:pt>
                <c:pt idx="556">
                  <c:v>6.9933245041194575E-3</c:v>
                </c:pt>
                <c:pt idx="557">
                  <c:v>7.0225877280163298E-3</c:v>
                </c:pt>
                <c:pt idx="558">
                  <c:v>7.0541122922734706E-3</c:v>
                </c:pt>
                <c:pt idx="559">
                  <c:v>7.0878544833931035E-3</c:v>
                </c:pt>
                <c:pt idx="560">
                  <c:v>7.1237625768638272E-3</c:v>
                </c:pt>
                <c:pt idx="561">
                  <c:v>7.1617770162673029E-3</c:v>
                </c:pt>
                <c:pt idx="562">
                  <c:v>7.2018306188526907E-3</c:v>
                </c:pt>
                <c:pt idx="563">
                  <c:v>7.2438488068835242E-3</c:v>
                </c:pt>
                <c:pt idx="564">
                  <c:v>7.2877498639744593E-3</c:v>
                </c:pt>
                <c:pt idx="565">
                  <c:v>7.3334452155508125E-3</c:v>
                </c:pt>
                <c:pt idx="566">
                  <c:v>7.3808397324821584E-3</c:v>
                </c:pt>
                <c:pt idx="567">
                  <c:v>7.4298320568628382E-3</c:v>
                </c:pt>
                <c:pt idx="568">
                  <c:v>7.4803149488372987E-3</c:v>
                </c:pt>
                <c:pt idx="569">
                  <c:v>7.5321756532969663E-3</c:v>
                </c:pt>
                <c:pt idx="570">
                  <c:v>7.585296285208128E-3</c:v>
                </c:pt>
                <c:pt idx="571">
                  <c:v>7.6395542322672252E-3</c:v>
                </c:pt>
                <c:pt idx="572">
                  <c:v>7.6948225735213663E-3</c:v>
                </c:pt>
                <c:pt idx="573">
                  <c:v>7.7509705125378102E-3</c:v>
                </c:pt>
                <c:pt idx="574">
                  <c:v>7.8078638236569664E-3</c:v>
                </c:pt>
                <c:pt idx="575">
                  <c:v>7.8653653098191573E-3</c:v>
                </c:pt>
                <c:pt idx="576">
                  <c:v>7.9233352704162589E-3</c:v>
                </c:pt>
                <c:pt idx="577">
                  <c:v>7.9816319775853888E-3</c:v>
                </c:pt>
                <c:pt idx="578">
                  <c:v>8.0401121593332379E-3</c:v>
                </c:pt>
                <c:pt idx="579">
                  <c:v>8.0986314878565557E-3</c:v>
                </c:pt>
                <c:pt idx="580">
                  <c:v>8.1570450714066982E-3</c:v>
                </c:pt>
                <c:pt idx="581">
                  <c:v>8.2152079480341325E-3</c:v>
                </c:pt>
                <c:pt idx="582">
                  <c:v>8.2729755795424732E-3</c:v>
                </c:pt>
                <c:pt idx="583">
                  <c:v>8.3301044361087703E-3</c:v>
                </c:pt>
                <c:pt idx="584">
                  <c:v>8.3862540115104689E-3</c:v>
                </c:pt>
                <c:pt idx="585">
                  <c:v>8.4410894454193235E-3</c:v>
                </c:pt>
                <c:pt idx="586">
                  <c:v>8.4942833947116037E-3</c:v>
                </c:pt>
                <c:pt idx="587">
                  <c:v>8.5455178627500111E-3</c:v>
                </c:pt>
                <c:pt idx="588">
                  <c:v>8.5944859764071901E-3</c:v>
                </c:pt>
                <c:pt idx="589">
                  <c:v>8.6408937008928422E-3</c:v>
                </c:pt>
                <c:pt idx="590">
                  <c:v>8.6844614827944096E-3</c:v>
                </c:pt>
                <c:pt idx="591">
                  <c:v>8.7249258121426653E-3</c:v>
                </c:pt>
                <c:pt idx="592">
                  <c:v>8.7620406947663976E-3</c:v>
                </c:pt>
                <c:pt idx="593">
                  <c:v>8.7955790267021435E-3</c:v>
                </c:pt>
                <c:pt idx="594">
                  <c:v>8.8253338629725956E-3</c:v>
                </c:pt>
                <c:pt idx="595">
                  <c:v>8.8511195736380964E-3</c:v>
                </c:pt>
                <c:pt idx="596">
                  <c:v>8.8727728806560144E-3</c:v>
                </c:pt>
                <c:pt idx="597">
                  <c:v>8.8901537697493732E-3</c:v>
                </c:pt>
                <c:pt idx="598">
                  <c:v>8.9031462721851588E-3</c:v>
                </c:pt>
                <c:pt idx="599">
                  <c:v>8.9116591120901329E-3</c:v>
                </c:pt>
                <c:pt idx="600">
                  <c:v>8.9156262156840707E-3</c:v>
                </c:pt>
                <c:pt idx="601">
                  <c:v>8.9150070795824994E-3</c:v>
                </c:pt>
                <c:pt idx="602">
                  <c:v>8.9097869961091321E-3</c:v>
                </c:pt>
                <c:pt idx="603">
                  <c:v>8.8999771343579118E-3</c:v>
                </c:pt>
                <c:pt idx="604">
                  <c:v>8.8856144765512325E-3</c:v>
                </c:pt>
                <c:pt idx="605">
                  <c:v>8.8667616100501882E-3</c:v>
                </c:pt>
                <c:pt idx="606">
                  <c:v>8.843506376179925E-3</c:v>
                </c:pt>
                <c:pt idx="607">
                  <c:v>8.815961377833928E-3</c:v>
                </c:pt>
                <c:pt idx="608">
                  <c:v>8.7842633486108716E-3</c:v>
                </c:pt>
                <c:pt idx="609">
                  <c:v>8.7485723870119533E-3</c:v>
                </c:pt>
                <c:pt idx="610">
                  <c:v>8.7090710599813607E-3</c:v>
                </c:pt>
                <c:pt idx="611">
                  <c:v>8.6388975606756981E-3</c:v>
                </c:pt>
                <c:pt idx="612">
                  <c:v>8.5692894856237677E-3</c:v>
                </c:pt>
                <c:pt idx="613">
                  <c:v>8.500242278909307E-3</c:v>
                </c:pt>
                <c:pt idx="614">
                  <c:v>8.4317514213254341E-3</c:v>
                </c:pt>
                <c:pt idx="615">
                  <c:v>8.3638124300788562E-3</c:v>
                </c:pt>
                <c:pt idx="616">
                  <c:v>8.2964208584964672E-3</c:v>
                </c:pt>
                <c:pt idx="617">
                  <c:v>8.2295722957343165E-3</c:v>
                </c:pt>
                <c:pt idx="618">
                  <c:v>8.1632623664889062E-3</c:v>
                </c:pt>
                <c:pt idx="619">
                  <c:v>8.0974867307108244E-3</c:v>
                </c:pt>
                <c:pt idx="620">
                  <c:v>8.0322410833206931E-3</c:v>
                </c:pt>
                <c:pt idx="621">
                  <c:v>7.9675211539273812E-3</c:v>
                </c:pt>
                <c:pt idx="622">
                  <c:v>7.9033227065485184E-3</c:v>
                </c:pt>
                <c:pt idx="623">
                  <c:v>7.8396415393332392E-3</c:v>
                </c:pt>
                <c:pt idx="624">
                  <c:v>7.7764734842871667E-3</c:v>
                </c:pt>
                <c:pt idx="625">
                  <c:v>7.7138144069996166E-3</c:v>
                </c:pt>
                <c:pt idx="626">
                  <c:v>7.6516602063729927E-3</c:v>
                </c:pt>
                <c:pt idx="627">
                  <c:v>7.5900068143543676E-3</c:v>
                </c:pt>
                <c:pt idx="628">
                  <c:v>7.5288501956692266E-3</c:v>
                </c:pt>
                <c:pt idx="629">
                  <c:v>7.4681863475573509E-3</c:v>
                </c:pt>
                <c:pt idx="630">
                  <c:v>7.4080112995108371E-3</c:v>
                </c:pt>
                <c:pt idx="631">
                  <c:v>7.3483211130142201E-3</c:v>
                </c:pt>
                <c:pt idx="632">
                  <c:v>7.2891118812866973E-3</c:v>
                </c:pt>
                <c:pt idx="633">
                  <c:v>7.2303797290264229E-3</c:v>
                </c:pt>
                <c:pt idx="634">
                  <c:v>7.1721208121568666E-3</c:v>
                </c:pt>
                <c:pt idx="635">
                  <c:v>7.1143313175752133E-3</c:v>
                </c:pt>
                <c:pt idx="636">
                  <c:v>7.0570074629027956E-3</c:v>
                </c:pt>
                <c:pt idx="637">
                  <c:v>7.0001454962375321E-3</c:v>
                </c:pt>
                <c:pt idx="638">
                  <c:v>6.9437416959083585E-3</c:v>
                </c:pt>
                <c:pt idx="639">
                  <c:v>6.887792370231645E-3</c:v>
                </c:pt>
                <c:pt idx="640">
                  <c:v>6.8322938572695701E-3</c:v>
                </c:pt>
                <c:pt idx="641">
                  <c:v>6.7772425245904424E-3</c:v>
                </c:pt>
                <c:pt idx="642">
                  <c:v>6.722634769030956E-3</c:v>
                </c:pt>
                <c:pt idx="643">
                  <c:v>6.6684670164603574E-3</c:v>
                </c:pt>
                <c:pt idx="644">
                  <c:v>6.6147357215465205E-3</c:v>
                </c:pt>
                <c:pt idx="645">
                  <c:v>6.5614373675238948E-3</c:v>
                </c:pt>
                <c:pt idx="646">
                  <c:v>6.5085684659633323E-3</c:v>
                </c:pt>
                <c:pt idx="647">
                  <c:v>6.4561255565437695E-3</c:v>
                </c:pt>
                <c:pt idx="648">
                  <c:v>6.404105206825739E-3</c:v>
                </c:pt>
                <c:pt idx="649">
                  <c:v>6.3525040120267218E-3</c:v>
                </c:pt>
                <c:pt idx="650">
                  <c:v>6.3013185947982933E-3</c:v>
                </c:pt>
                <c:pt idx="651">
                  <c:v>6.2505456050050744E-3</c:v>
                </c:pt>
                <c:pt idx="652">
                  <c:v>6.2001817195054681E-3</c:v>
                </c:pt>
                <c:pt idx="653">
                  <c:v>6.1502236419341463E-3</c:v>
                </c:pt>
                <c:pt idx="654">
                  <c:v>6.1006681024863068E-3</c:v>
                </c:pt>
                <c:pt idx="655">
                  <c:v>6.0515118577036606E-3</c:v>
                </c:pt>
                <c:pt idx="656">
                  <c:v>6.0027516902621415E-3</c:v>
                </c:pt>
                <c:pt idx="657">
                  <c:v>5.9543844087613313E-3</c:v>
                </c:pt>
                <c:pt idx="658">
                  <c:v>5.906406847515578E-3</c:v>
                </c:pt>
                <c:pt idx="659">
                  <c:v>5.8588158663468032E-3</c:v>
                </c:pt>
                <c:pt idx="660">
                  <c:v>5.8116083503789656E-3</c:v>
                </c:pt>
                <c:pt idx="661">
                  <c:v>5.7647812098341987E-3</c:v>
                </c:pt>
                <c:pt idx="662">
                  <c:v>5.718331379830576E-3</c:v>
                </c:pt>
                <c:pt idx="663">
                  <c:v>5.6722558201815132E-3</c:v>
                </c:pt>
                <c:pt idx="664">
                  <c:v>5.6265515151967859E-3</c:v>
                </c:pt>
                <c:pt idx="665">
                  <c:v>5.5812154734851465E-3</c:v>
                </c:pt>
                <c:pt idx="666">
                  <c:v>5.5362447277585401E-3</c:v>
                </c:pt>
                <c:pt idx="667">
                  <c:v>5.4916363346378871E-3</c:v>
                </c:pt>
                <c:pt idx="668">
                  <c:v>5.4473873744604407E-3</c:v>
                </c:pt>
                <c:pt idx="669">
                  <c:v>5.4034949510886878E-3</c:v>
                </c:pt>
                <c:pt idx="670">
                  <c:v>5.3599561917207989E-3</c:v>
                </c:pt>
                <c:pt idx="671">
                  <c:v>5.3167682467025953E-3</c:v>
                </c:pt>
                <c:pt idx="672">
                  <c:v>5.2739282893410396E-3</c:v>
                </c:pt>
                <c:pt idx="673">
                  <c:v>5.2314335157192275E-3</c:v>
                </c:pt>
                <c:pt idx="674">
                  <c:v>5.1892811445128613E-3</c:v>
                </c:pt>
                <c:pt idx="675">
                  <c:v>5.1474684168082204E-3</c:v>
                </c:pt>
                <c:pt idx="676">
                  <c:v>5.1059925959215796E-3</c:v>
                </c:pt>
                <c:pt idx="677">
                  <c:v>5.0648509672200914E-3</c:v>
                </c:pt>
                <c:pt idx="678">
                  <c:v>5.0240408379441139E-3</c:v>
                </c:pt>
                <c:pt idx="679">
                  <c:v>4.983559537030966E-3</c:v>
                </c:pt>
                <c:pt idx="680">
                  <c:v>4.9434044149401007E-3</c:v>
                </c:pt>
                <c:pt idx="681">
                  <c:v>4.9035728434796933E-3</c:v>
                </c:pt>
                <c:pt idx="682">
                  <c:v>4.8640622156346227E-3</c:v>
                </c:pt>
                <c:pt idx="683">
                  <c:v>4.8248699453958413E-3</c:v>
                </c:pt>
                <c:pt idx="684">
                  <c:v>4.7859934675911148E-3</c:v>
                </c:pt>
                <c:pt idx="685">
                  <c:v>4.747430237717132E-3</c:v>
                </c:pt>
                <c:pt idx="686">
                  <c:v>4.7091777317729627E-3</c:v>
                </c:pt>
                <c:pt idx="687">
                  <c:v>4.671233446094861E-3</c:v>
                </c:pt>
                <c:pt idx="688">
                  <c:v>4.6335948971923989E-3</c:v>
                </c:pt>
                <c:pt idx="689">
                  <c:v>4.5962596215859148E-3</c:v>
                </c:pt>
                <c:pt idx="690">
                  <c:v>4.5592251756452814E-3</c:v>
                </c:pt>
                <c:pt idx="691">
                  <c:v>4.5224891354299669E-3</c:v>
                </c:pt>
                <c:pt idx="692">
                  <c:v>4.4860490965303824E-3</c:v>
                </c:pt>
                <c:pt idx="693">
                  <c:v>4.4499026739105146E-3</c:v>
                </c:pt>
                <c:pt idx="694">
                  <c:v>4.4140475017518206E-3</c:v>
                </c:pt>
                <c:pt idx="695">
                  <c:v>4.378481233298385E-3</c:v>
                </c:pt>
                <c:pt idx="696">
                  <c:v>4.3432015407033195E-3</c:v>
                </c:pt>
                <c:pt idx="697">
                  <c:v>4.3082061148764055E-3</c:v>
                </c:pt>
                <c:pt idx="698">
                  <c:v>4.2734926653329609E-3</c:v>
                </c:pt>
                <c:pt idx="699">
                  <c:v>4.2390589200439269E-3</c:v>
                </c:pt>
                <c:pt idx="700">
                  <c:v>4.2049026252871571E-3</c:v>
                </c:pt>
                <c:pt idx="701">
                  <c:v>4.1710215454999174E-3</c:v>
                </c:pt>
                <c:pt idx="702">
                  <c:v>4.137413463132557E-3</c:v>
                </c:pt>
                <c:pt idx="703">
                  <c:v>4.1040761785033743E-3</c:v>
                </c:pt>
                <c:pt idx="704">
                  <c:v>4.0710075096546429E-3</c:v>
                </c:pt>
                <c:pt idx="705">
                  <c:v>4.0382052922097993E-3</c:v>
                </c:pt>
                <c:pt idx="706">
                  <c:v>4.0056673792317849E-3</c:v>
                </c:pt>
                <c:pt idx="707">
                  <c:v>3.9733916410825271E-3</c:v>
                </c:pt>
                <c:pt idx="708">
                  <c:v>3.941375965283548E-3</c:v>
                </c:pt>
                <c:pt idx="709">
                  <c:v>3.9096182563777056E-3</c:v>
                </c:pt>
                <c:pt idx="710">
                  <c:v>3.8781164357920414E-3</c:v>
                </c:pt>
                <c:pt idx="711">
                  <c:v>3.8468684417017371E-3</c:v>
                </c:pt>
                <c:pt idx="712">
                  <c:v>3.8158722288951655E-3</c:v>
                </c:pt>
                <c:pt idx="713">
                  <c:v>3.7851257686400291E-3</c:v>
                </c:pt>
                <c:pt idx="714">
                  <c:v>3.754627048550578E-3</c:v>
                </c:pt>
                <c:pt idx="715">
                  <c:v>3.724374072455898E-3</c:v>
                </c:pt>
                <c:pt idx="716">
                  <c:v>3.6943648602692568E-3</c:v>
                </c:pt>
                <c:pt idx="717">
                  <c:v>3.6645974478585089E-3</c:v>
                </c:pt>
                <c:pt idx="718">
                  <c:v>3.6350698869175393E-3</c:v>
                </c:pt>
                <c:pt idx="719">
                  <c:v>3.6057802448387442E-3</c:v>
                </c:pt>
                <c:pt idx="720">
                  <c:v>3.5767266045865415E-3</c:v>
                </c:pt>
                <c:pt idx="721">
                  <c:v>3.5479070645718985E-3</c:v>
                </c:pt>
                <c:pt idx="722">
                  <c:v>3.5193197385278707E-3</c:v>
                </c:pt>
                <c:pt idx="723">
                  <c:v>3.4909627553861436E-3</c:v>
                </c:pt>
                <c:pt idx="724">
                  <c:v>3.4628342591545703E-3</c:v>
                </c:pt>
                <c:pt idx="725">
                  <c:v>3.4349324087956951E-3</c:v>
                </c:pt>
                <c:pt idx="726">
                  <c:v>3.4072553781062543E-3</c:v>
                </c:pt>
                <c:pt idx="727">
                  <c:v>3.3798013555976503E-3</c:v>
                </c:pt>
                <c:pt idx="728">
                  <c:v>3.3525685443773893E-3</c:v>
                </c:pt>
                <c:pt idx="729">
                  <c:v>3.3255551620314703E-3</c:v>
                </c:pt>
                <c:pt idx="730">
                  <c:v>3.2987594405077258E-3</c:v>
                </c:pt>
                <c:pt idx="731">
                  <c:v>3.2721796260001016E-3</c:v>
                </c:pt>
                <c:pt idx="732">
                  <c:v>3.2458139788338683E-3</c:v>
                </c:pt>
                <c:pt idx="733">
                  <c:v>3.219660773351756E-3</c:v>
                </c:pt>
                <c:pt idx="734">
                  <c:v>3.1937182978010103E-3</c:v>
                </c:pt>
                <c:pt idx="735">
                  <c:v>3.1679848542213568E-3</c:v>
                </c:pt>
                <c:pt idx="736">
                  <c:v>3.1424587583338656E-3</c:v>
                </c:pt>
                <c:pt idx="737">
                  <c:v>3.1171383394307168E-3</c:v>
                </c:pt>
                <c:pt idx="738">
                  <c:v>3.0920219402658482E-3</c:v>
                </c:pt>
                <c:pt idx="739">
                  <c:v>3.0671079169464878E-3</c:v>
                </c:pt>
                <c:pt idx="740">
                  <c:v>3.0423946388255605E-3</c:v>
                </c:pt>
                <c:pt idx="741">
                  <c:v>3.0178804883949587E-3</c:v>
                </c:pt>
                <c:pt idx="742">
                  <c:v>2.9935638611796782E-3</c:v>
                </c:pt>
                <c:pt idx="743">
                  <c:v>2.9694431656327983E-3</c:v>
                </c:pt>
                <c:pt idx="744">
                  <c:v>2.9455168230313193E-3</c:v>
                </c:pt>
                <c:pt idx="745">
                  <c:v>2.9217832673728295E-3</c:v>
                </c:pt>
                <c:pt idx="746">
                  <c:v>2.8982409452730116E-3</c:v>
                </c:pt>
                <c:pt idx="747">
                  <c:v>2.8748883158639686E-3</c:v>
                </c:pt>
                <c:pt idx="748">
                  <c:v>2.8517238506933777E-3</c:v>
                </c:pt>
                <c:pt idx="749">
                  <c:v>2.8287460336244466E-3</c:v>
                </c:pt>
                <c:pt idx="750">
                  <c:v>2.8059533607366831E-3</c:v>
                </c:pt>
                <c:pt idx="751">
                  <c:v>2.7833443402274622E-3</c:v>
                </c:pt>
                <c:pt idx="752">
                  <c:v>2.7609174923143866E-3</c:v>
                </c:pt>
                <c:pt idx="753">
                  <c:v>2.7386713491384307E-3</c:v>
                </c:pt>
                <c:pt idx="754">
                  <c:v>2.7166044546678716E-3</c:v>
                </c:pt>
                <c:pt idx="755">
                  <c:v>2.6947153646029887E-3</c:v>
                </c:pt>
                <c:pt idx="756">
                  <c:v>2.6730026462815312E-3</c:v>
                </c:pt>
                <c:pt idx="757">
                  <c:v>2.6514648785849527E-3</c:v>
                </c:pt>
                <c:pt idx="758">
                  <c:v>2.6301006518453934E-3</c:v>
                </c:pt>
                <c:pt idx="759">
                  <c:v>2.6089085677534199E-3</c:v>
                </c:pt>
                <c:pt idx="760">
                  <c:v>2.5878872392665017E-3</c:v>
                </c:pt>
                <c:pt idx="761">
                  <c:v>2.567035290518228E-3</c:v>
                </c:pt>
                <c:pt idx="762">
                  <c:v>2.5463513567282586E-3</c:v>
                </c:pt>
                <c:pt idx="763">
                  <c:v>2.5258340841129946E-3</c:v>
                </c:pt>
                <c:pt idx="764">
                  <c:v>2.5054821297969729E-3</c:v>
                </c:pt>
                <c:pt idx="765">
                  <c:v>2.4852941617249757E-3</c:v>
                </c:pt>
                <c:pt idx="766">
                  <c:v>2.4652688585748424E-3</c:v>
                </c:pt>
                <c:pt idx="767">
                  <c:v>2.4454049096709917E-3</c:v>
                </c:pt>
                <c:pt idx="768">
                  <c:v>2.4257010148986337E-3</c:v>
                </c:pt>
                <c:pt idx="769">
                  <c:v>2.406155884618677E-3</c:v>
                </c:pt>
                <c:pt idx="770">
                  <c:v>2.3867682395833215E-3</c:v>
                </c:pt>
                <c:pt idx="771">
                  <c:v>2.3675368108523288E-3</c:v>
                </c:pt>
                <c:pt idx="772">
                  <c:v>2.3484603397099712E-3</c:v>
                </c:pt>
                <c:pt idx="773">
                  <c:v>2.3295375775826441E-3</c:v>
                </c:pt>
                <c:pt idx="774">
                  <c:v>2.3107672859571482E-3</c:v>
                </c:pt>
                <c:pt idx="775">
                  <c:v>2.2921482362996287E-3</c:v>
                </c:pt>
                <c:pt idx="776">
                  <c:v>2.2736792099751616E-3</c:v>
                </c:pt>
                <c:pt idx="777">
                  <c:v>2.2553589981679986E-3</c:v>
                </c:pt>
                <c:pt idx="778">
                  <c:v>2.237186401802445E-3</c:v>
                </c:pt>
                <c:pt idx="779">
                  <c:v>2.2191602314643815E-3</c:v>
                </c:pt>
                <c:pt idx="780">
                  <c:v>2.2012793073234141E-3</c:v>
                </c:pt>
                <c:pt idx="781">
                  <c:v>2.1835424590556539E-3</c:v>
                </c:pt>
                <c:pt idx="782">
                  <c:v>2.1659485257671182E-3</c:v>
                </c:pt>
                <c:pt idx="783">
                  <c:v>2.1484963559177486E-3</c:v>
                </c:pt>
                <c:pt idx="784">
                  <c:v>2.1311848072460425E-3</c:v>
                </c:pt>
                <c:pt idx="785">
                  <c:v>2.1140127466942895E-3</c:v>
                </c:pt>
                <c:pt idx="786">
                  <c:v>2.0969790503344121E-3</c:v>
                </c:pt>
                <c:pt idx="787">
                  <c:v>2.0800826032944049E-3</c:v>
                </c:pt>
                <c:pt idx="788">
                  <c:v>2.0633222996853636E-3</c:v>
                </c:pt>
                <c:pt idx="789">
                  <c:v>2.0466970425291036E-3</c:v>
                </c:pt>
                <c:pt idx="790">
                  <c:v>2.0302057436863627E-3</c:v>
                </c:pt>
                <c:pt idx="791">
                  <c:v>2.01384732378558E-3</c:v>
                </c:pt>
                <c:pt idx="792">
                  <c:v>1.9976207121522515E-3</c:v>
                </c:pt>
                <c:pt idx="793">
                  <c:v>1.9815248467388515E-3</c:v>
                </c:pt>
                <c:pt idx="794">
                  <c:v>1.9655586740553229E-3</c:v>
                </c:pt>
                <c:pt idx="795">
                  <c:v>1.9497211491001231E-3</c:v>
                </c:pt>
                <c:pt idx="796">
                  <c:v>1.934011235291829E-3</c:v>
                </c:pt>
                <c:pt idx="797">
                  <c:v>1.9184279044012912E-3</c:v>
                </c:pt>
                <c:pt idx="798">
                  <c:v>1.902970136484335E-3</c:v>
                </c:pt>
                <c:pt idx="799">
                  <c:v>1.8876369198150055E-3</c:v>
                </c:pt>
                <c:pt idx="800">
                  <c:v>1.8724272508193471E-3</c:v>
                </c:pt>
                <c:pt idx="801">
                  <c:v>1.8573401340097207E-3</c:v>
                </c:pt>
                <c:pt idx="802">
                  <c:v>1.8423745819196461E-3</c:v>
                </c:pt>
                <c:pt idx="803">
                  <c:v>1.8275296150391728E-3</c:v>
                </c:pt>
                <c:pt idx="804">
                  <c:v>1.81280426175077E-3</c:v>
                </c:pt>
                <c:pt idx="805">
                  <c:v>1.7981975582657321E-3</c:v>
                </c:pt>
                <c:pt idx="806">
                  <c:v>1.7837085485610993E-3</c:v>
                </c:pt>
                <c:pt idx="807">
                  <c:v>1.7693362843170838E-3</c:v>
                </c:pt>
                <c:pt idx="808">
                  <c:v>1.7550798248550025E-3</c:v>
                </c:pt>
                <c:pt idx="809">
                  <c:v>1.7409382370757072E-3</c:v>
                </c:pt>
                <c:pt idx="810">
                  <c:v>1.7269105953985136E-3</c:v>
                </c:pt>
                <c:pt idx="811">
                  <c:v>1.7129959817006205E-3</c:v>
                </c:pt>
                <c:pt idx="812">
                  <c:v>1.699193485257018E-3</c:v>
                </c:pt>
                <c:pt idx="813">
                  <c:v>1.6855022026808801E-3</c:v>
                </c:pt>
                <c:pt idx="814">
                  <c:v>1.6719212378644357E-3</c:v>
                </c:pt>
                <c:pt idx="815">
                  <c:v>1.6584497019203192E-3</c:v>
                </c:pt>
                <c:pt idx="816">
                  <c:v>1.6450867131233909E-3</c:v>
                </c:pt>
                <c:pt idx="817">
                  <c:v>1.6318313968530277E-3</c:v>
                </c:pt>
                <c:pt idx="818">
                  <c:v>1.6186828855358779E-3</c:v>
                </c:pt>
                <c:pt idx="819">
                  <c:v>1.6056403185890783E-3</c:v>
                </c:pt>
                <c:pt idx="820">
                  <c:v>1.5927028423639276E-3</c:v>
                </c:pt>
                <c:pt idx="821">
                  <c:v>1.5798696100900148E-3</c:v>
                </c:pt>
                <c:pt idx="822">
                  <c:v>1.5671397818197966E-3</c:v>
                </c:pt>
                <c:pt idx="823">
                  <c:v>1.5545125243736225E-3</c:v>
                </c:pt>
                <c:pt idx="824">
                  <c:v>1.5419870112852022E-3</c:v>
                </c:pt>
                <c:pt idx="825">
                  <c:v>1.5295624227475134E-3</c:v>
                </c:pt>
                <c:pt idx="826">
                  <c:v>1.5172379455591423E-3</c:v>
                </c:pt>
                <c:pt idx="827">
                  <c:v>1.505012773071062E-3</c:v>
                </c:pt>
                <c:pt idx="828">
                  <c:v>1.4928861051338341E-3</c:v>
                </c:pt>
                <c:pt idx="829">
                  <c:v>1.4808571480452385E-3</c:v>
                </c:pt>
                <c:pt idx="830">
                  <c:v>1.4689251144983262E-3</c:v>
                </c:pt>
                <c:pt idx="831">
                  <c:v>1.4570892235298881E-3</c:v>
                </c:pt>
                <c:pt idx="832">
                  <c:v>1.44534870046934E-3</c:v>
                </c:pt>
                <c:pt idx="833">
                  <c:v>1.4337027768880201E-3</c:v>
                </c:pt>
                <c:pt idx="834">
                  <c:v>1.422150690548895E-3</c:v>
                </c:pt>
                <c:pt idx="835">
                  <c:v>1.4106916853566702E-3</c:v>
                </c:pt>
                <c:pt idx="836">
                  <c:v>1.3993250113083025E-3</c:v>
                </c:pt>
                <c:pt idx="837">
                  <c:v>1.3880499244439115E-3</c:v>
                </c:pt>
                <c:pt idx="838">
                  <c:v>1.3768656867980886E-3</c:v>
                </c:pt>
                <c:pt idx="839">
                  <c:v>1.3657715663515934E-3</c:v>
                </c:pt>
                <c:pt idx="840">
                  <c:v>1.3547668369834451E-3</c:v>
                </c:pt>
                <c:pt idx="841">
                  <c:v>1.3438507784233951E-3</c:v>
                </c:pt>
                <c:pt idx="842">
                  <c:v>1.3330226762047859E-3</c:v>
                </c:pt>
                <c:pt idx="843">
                  <c:v>1.3222818216177879E-3</c:v>
                </c:pt>
                <c:pt idx="844">
                  <c:v>1.3116275116630146E-3</c:v>
                </c:pt>
                <c:pt idx="845">
                  <c:v>1.3010590490055093E-3</c:v>
                </c:pt>
                <c:pt idx="846">
                  <c:v>1.2905757419291045E-3</c:v>
                </c:pt>
                <c:pt idx="847">
                  <c:v>1.2801769042911483E-3</c:v>
                </c:pt>
                <c:pt idx="848">
                  <c:v>1.2698618554775963E-3</c:v>
                </c:pt>
                <c:pt idx="849">
                  <c:v>1.2596299203584637E-3</c:v>
                </c:pt>
                <c:pt idx="850">
                  <c:v>1.2494804292436379E-3</c:v>
                </c:pt>
                <c:pt idx="851">
                  <c:v>1.239412717839047E-3</c:v>
                </c:pt>
                <c:pt idx="852">
                  <c:v>1.2294261272031801E-3</c:v>
                </c:pt>
                <c:pt idx="853">
                  <c:v>1.2195200037039603E-3</c:v>
                </c:pt>
                <c:pt idx="854">
                  <c:v>1.2096936989759624E-3</c:v>
                </c:pt>
                <c:pt idx="855">
                  <c:v>1.1999465698779783E-3</c:v>
                </c:pt>
                <c:pt idx="856">
                  <c:v>1.1902779784509214E-3</c:v>
                </c:pt>
                <c:pt idx="857">
                  <c:v>1.1806872918760721E-3</c:v>
                </c:pt>
                <c:pt idx="858">
                  <c:v>1.1711738824336591E-3</c:v>
                </c:pt>
                <c:pt idx="859">
                  <c:v>1.1617371274617752E-3</c:v>
                </c:pt>
                <c:pt idx="860">
                  <c:v>1.1523764093156223E-3</c:v>
                </c:pt>
                <c:pt idx="861">
                  <c:v>1.1430911153270868E-3</c:v>
                </c:pt>
                <c:pt idx="862">
                  <c:v>1.1338806377646398E-3</c:v>
                </c:pt>
                <c:pt idx="863">
                  <c:v>1.1247443737935599E-3</c:v>
                </c:pt>
                <c:pt idx="864">
                  <c:v>1.1156817254364777E-3</c:v>
                </c:pt>
                <c:pt idx="865">
                  <c:v>1.1066920995342377E-3</c:v>
                </c:pt>
                <c:pt idx="866">
                  <c:v>1.0977749077070744E-3</c:v>
                </c:pt>
                <c:pt idx="867">
                  <c:v>1.0889295663161036E-3</c:v>
                </c:pt>
                <c:pt idx="868">
                  <c:v>1.0801554964251223E-3</c:v>
                </c:pt>
                <c:pt idx="869">
                  <c:v>1.0714521237627159E-3</c:v>
                </c:pt>
                <c:pt idx="870">
                  <c:v>1.0628188786846724E-3</c:v>
                </c:pt>
                <c:pt idx="871">
                  <c:v>1.0542551961366987E-3</c:v>
                </c:pt>
                <c:pt idx="872">
                  <c:v>1.0457605156174369E-3</c:v>
                </c:pt>
                <c:pt idx="873">
                  <c:v>1.0373342811417789E-3</c:v>
                </c:pt>
                <c:pt idx="874">
                  <c:v>1.0289759412044769E-3</c:v>
                </c:pt>
                <c:pt idx="875">
                  <c:v>1.0206849487440464E-3</c:v>
                </c:pt>
                <c:pt idx="876">
                  <c:v>1.0124607611069617E-3</c:v>
                </c:pt>
                <c:pt idx="877">
                  <c:v>1.0043028400121368E-3</c:v>
                </c:pt>
                <c:pt idx="878">
                  <c:v>9.9621065151569597E-4</c:v>
                </c:pt>
                <c:pt idx="879">
                  <c:v>9.8818366597602575E-4</c:v>
                </c:pt>
                <c:pt idx="880">
                  <c:v>9.8022135801910967E-4</c:v>
                </c:pt>
                <c:pt idx="881">
                  <c:v>9.7232320650414222E-4</c:v>
                </c:pt>
                <c:pt idx="882">
                  <c:v>9.6448869448941931E-4</c:v>
                </c:pt>
                <c:pt idx="883">
                  <c:v>9.5671730919850431E-4</c:v>
                </c:pt>
                <c:pt idx="884">
                  <c:v>9.4900854198666561E-4</c:v>
                </c:pt>
                <c:pt idx="885">
                  <c:v>9.4136188830758617E-4</c:v>
                </c:pt>
                <c:pt idx="886">
                  <c:v>9.3377684768034029E-4</c:v>
                </c:pt>
                <c:pt idx="887">
                  <c:v>9.2625292365663601E-4</c:v>
                </c:pt>
                <c:pt idx="888">
                  <c:v>9.1878962378832301E-4</c:v>
                </c:pt>
                <c:pt idx="889">
                  <c:v>9.1138645959516057E-4</c:v>
                </c:pt>
                <c:pt idx="890">
                  <c:v>9.0404294653284676E-4</c:v>
                </c:pt>
                <c:pt idx="891">
                  <c:v>8.9675860396130403E-4</c:v>
                </c:pt>
                <c:pt idx="892">
                  <c:v>8.8953295511322121E-4</c:v>
                </c:pt>
                <c:pt idx="893">
                  <c:v>8.8236552706284809E-4</c:v>
                </c:pt>
                <c:pt idx="894">
                  <c:v>8.7525585069504286E-4</c:v>
                </c:pt>
                <c:pt idx="895">
                  <c:v>8.6820346067456719E-4</c:v>
                </c:pt>
                <c:pt idx="896">
                  <c:v>8.6120789541562989E-4</c:v>
                </c:pt>
                <c:pt idx="897">
                  <c:v>8.5426869705167597E-4</c:v>
                </c:pt>
                <c:pt idx="898">
                  <c:v>8.473854114054185E-4</c:v>
                </c:pt>
                <c:pt idx="899">
                  <c:v>8.405575879591123E-4</c:v>
                </c:pt>
                <c:pt idx="900">
                  <c:v>8.3378477982506711E-4</c:v>
                </c:pt>
                <c:pt idx="901">
                  <c:v>8.2706654371639862E-4</c:v>
                </c:pt>
                <c:pt idx="902">
                  <c:v>8.2040243991801437E-4</c:v>
                </c:pt>
                <c:pt idx="903">
                  <c:v>8.1379203225783446E-4</c:v>
                </c:pt>
                <c:pt idx="904">
                  <c:v>8.0723488807824364E-4</c:v>
                </c:pt>
                <c:pt idx="905">
                  <c:v>8.0073057820777315E-4</c:v>
                </c:pt>
                <c:pt idx="906">
                  <c:v>7.942786769330111E-4</c:v>
                </c:pt>
                <c:pt idx="907">
                  <c:v>7.8787876197073943E-4</c:v>
                </c:pt>
                <c:pt idx="908">
                  <c:v>7.8153041444029459E-4</c:v>
                </c:pt>
                <c:pt idx="909">
                  <c:v>7.7523321883615185E-4</c:v>
                </c:pt>
                <c:pt idx="910">
                  <c:v>7.689867630007298E-4</c:v>
                </c:pt>
                <c:pt idx="911">
                  <c:v>7.6279063809741416E-4</c:v>
                </c:pt>
                <c:pt idx="912">
                  <c:v>7.5664443858379916E-4</c:v>
                </c:pt>
                <c:pt idx="913">
                  <c:v>7.5054776218514449E-4</c:v>
                </c:pt>
                <c:pt idx="914">
                  <c:v>7.4450020986804595E-4</c:v>
                </c:pt>
                <c:pt idx="915">
                  <c:v>7.3850138581431802E-4</c:v>
                </c:pt>
                <c:pt idx="916">
                  <c:v>7.3255089739508771E-4</c:v>
                </c:pt>
                <c:pt idx="917">
                  <c:v>7.2664835514509626E-4</c:v>
                </c:pt>
                <c:pt idx="918">
                  <c:v>7.2079337273720846E-4</c:v>
                </c:pt>
                <c:pt idx="919">
                  <c:v>7.1498556695712677E-4</c:v>
                </c:pt>
                <c:pt idx="920">
                  <c:v>7.0922455767831016E-4</c:v>
                </c:pt>
                <c:pt idx="921">
                  <c:v>7.0350996783709416E-4</c:v>
                </c:pt>
                <c:pt idx="922">
                  <c:v>6.9784142340801128E-4</c:v>
                </c:pt>
                <c:pt idx="923">
                  <c:v>6.9221855337931154E-4</c:v>
                </c:pt>
                <c:pt idx="924">
                  <c:v>6.8664098972867865E-4</c:v>
                </c:pt>
                <c:pt idx="925">
                  <c:v>6.8110836739914305E-4</c:v>
                </c:pt>
                <c:pt idx="926">
                  <c:v>6.7562032427518812E-4</c:v>
                </c:pt>
                <c:pt idx="927">
                  <c:v>6.7017650115904978E-4</c:v>
                </c:pt>
                <c:pt idx="928">
                  <c:v>6.6477654174720673E-4</c:v>
                </c:pt>
                <c:pt idx="929">
                  <c:v>6.5942009260705936E-4</c:v>
                </c:pt>
                <c:pt idx="930">
                  <c:v>6.5410680315379803E-4</c:v>
                </c:pt>
                <c:pt idx="931">
                  <c:v>6.4883632562745661E-4</c:v>
                </c:pt>
                <c:pt idx="932">
                  <c:v>6.436083150701509E-4</c:v>
                </c:pt>
                <c:pt idx="933">
                  <c:v>6.3842242930350164E-4</c:v>
                </c:pt>
                <c:pt idx="934">
                  <c:v>6.3327832890623778E-4</c:v>
                </c:pt>
                <c:pt idx="935">
                  <c:v>6.2817567719198144E-4</c:v>
                </c:pt>
                <c:pt idx="936">
                  <c:v>6.2311414018721158E-4</c:v>
                </c:pt>
                <c:pt idx="937">
                  <c:v>6.1809338660940465E-4</c:v>
                </c:pt>
                <c:pt idx="938">
                  <c:v>6.1311308784535207E-4</c:v>
                </c:pt>
                <c:pt idx="939">
                  <c:v>6.0817291792965257E-4</c:v>
                </c:pt>
                <c:pt idx="940">
                  <c:v>6.0327255352337673E-4</c:v>
                </c:pt>
                <c:pt idx="941">
                  <c:v>5.9841167389290456E-4</c:v>
                </c:pt>
                <c:pt idx="942">
                  <c:v>5.9358996088893293E-4</c:v>
                </c:pt>
                <c:pt idx="943">
                  <c:v>5.8880709892565294E-4</c:v>
                </c:pt>
                <c:pt idx="944">
                  <c:v>5.8406277496009359E-4</c:v>
                </c:pt>
                <c:pt idx="945">
                  <c:v>5.7935667847163364E-4</c:v>
                </c:pt>
                <c:pt idx="946">
                  <c:v>5.7468850144167753E-4</c:v>
                </c:pt>
                <c:pt idx="947">
                  <c:v>5.7005793833349479E-4</c:v>
                </c:pt>
                <c:pt idx="948">
                  <c:v>5.6546468607222334E-4</c:v>
                </c:pt>
                <c:pt idx="949">
                  <c:v>5.6090844402503174E-4</c:v>
                </c:pt>
                <c:pt idx="950">
                  <c:v>5.5638891398144337E-4</c:v>
                </c:pt>
                <c:pt idx="951">
                  <c:v>5.5190580013381803E-4</c:v>
                </c:pt>
                <c:pt idx="952">
                  <c:v>5.4745880905799076E-4</c:v>
                </c:pt>
                <c:pt idx="953">
                  <c:v>5.4304764969406749E-4</c:v>
                </c:pt>
                <c:pt idx="954">
                  <c:v>5.3867203332737419E-4</c:v>
                </c:pt>
                <c:pt idx="955">
                  <c:v>5.34331673569561E-4</c:v>
                </c:pt>
                <c:pt idx="956">
                  <c:v>5.3002628633985705E-4</c:v>
                </c:pt>
                <c:pt idx="957">
                  <c:v>5.257555898464778E-4</c:v>
                </c:pt>
                <c:pt idx="958">
                  <c:v>5.2151930456818092E-4</c:v>
                </c:pt>
                <c:pt idx="959">
                  <c:v>5.1731715323597176E-4</c:v>
                </c:pt>
                <c:pt idx="960">
                  <c:v>5.131488608149554E-4</c:v>
                </c:pt>
                <c:pt idx="961">
                  <c:v>5.0901415448633617E-4</c:v>
                </c:pt>
                <c:pt idx="962">
                  <c:v>5.0491276362956013E-4</c:v>
                </c:pt>
                <c:pt idx="963">
                  <c:v>5.0084441980460391E-4</c:v>
                </c:pt>
                <c:pt idx="964">
                  <c:v>4.9680885673440451E-4</c:v>
                </c:pt>
                <c:pt idx="965">
                  <c:v>4.9280581028743092E-4</c:v>
                </c:pt>
                <c:pt idx="966">
                  <c:v>4.8883501846039691E-4</c:v>
                </c:pt>
                <c:pt idx="967">
                  <c:v>4.8489622136111272E-4</c:v>
                </c:pt>
                <c:pt idx="968">
                  <c:v>4.8098916119147437E-4</c:v>
                </c:pt>
                <c:pt idx="969">
                  <c:v>4.7711358223059103E-4</c:v>
                </c:pt>
                <c:pt idx="970">
                  <c:v>4.7326923081804752E-4</c:v>
                </c:pt>
                <c:pt idx="971">
                  <c:v>4.6945585533730215E-4</c:v>
                </c:pt>
                <c:pt idx="972">
                  <c:v>4.6567320619921802E-4</c:v>
                </c:pt>
                <c:pt idx="973">
                  <c:v>4.6192103582572732E-4</c:v>
                </c:pt>
                <c:pt idx="974">
                  <c:v>4.581990986336271E-4</c:v>
                </c:pt>
                <c:pt idx="975">
                  <c:v>4.5450715101850553E-4</c:v>
                </c:pt>
                <c:pt idx="976">
                  <c:v>4.5084495133879777E-4</c:v>
                </c:pt>
                <c:pt idx="977">
                  <c:v>4.472122598999702E-4</c:v>
                </c:pt>
                <c:pt idx="978">
                  <c:v>4.4360883893883248E-4</c:v>
                </c:pt>
                <c:pt idx="979">
                  <c:v>4.4003445260797536E-4</c:v>
                </c:pt>
                <c:pt idx="980">
                  <c:v>4.3648886696033459E-4</c:v>
                </c:pt>
                <c:pt idx="981">
                  <c:v>4.3297184993387842E-4</c:v>
                </c:pt>
                <c:pt idx="982">
                  <c:v>4.2948317133641937E-4</c:v>
                </c:pt>
                <c:pt idx="983">
                  <c:v>4.2602260283054765E-4</c:v>
                </c:pt>
                <c:pt idx="984">
                  <c:v>4.2258991791868623E-4</c:v>
                </c:pt>
                <c:pt idx="985">
                  <c:v>4.1918489192826672E-4</c:v>
                </c:pt>
                <c:pt idx="986">
                  <c:v>4.1580730199702371E-4</c:v>
                </c:pt>
                <c:pt idx="987">
                  <c:v>4.1245692705840878E-4</c:v>
                </c:pt>
                <c:pt idx="988">
                  <c:v>4.0913354782712123E-4</c:v>
                </c:pt>
                <c:pt idx="989">
                  <c:v>4.0583694678475565E-4</c:v>
                </c:pt>
                <c:pt idx="990">
                  <c:v>4.0256690816556525E-4</c:v>
                </c:pt>
                <c:pt idx="991">
                  <c:v>3.9932321794233956E-4</c:v>
                </c:pt>
                <c:pt idx="992">
                  <c:v>3.9610566381239633E-4</c:v>
                </c:pt>
                <c:pt idx="993">
                  <c:v>3.92914035183686E-4</c:v>
                </c:pt>
                <c:pt idx="994">
                  <c:v>3.897481231610085E-4</c:v>
                </c:pt>
                <c:pt idx="995">
                  <c:v>3.8660772053234041E-4</c:v>
                </c:pt>
                <c:pt idx="996">
                  <c:v>3.8349262175527306E-4</c:v>
                </c:pt>
                <c:pt idx="997">
                  <c:v>3.8040262294355959E-4</c:v>
                </c:pt>
                <c:pt idx="998">
                  <c:v>3.7733752185377015E-4</c:v>
                </c:pt>
                <c:pt idx="999">
                  <c:v>3.742971178720551E-4</c:v>
                </c:pt>
                <c:pt idx="1000">
                  <c:v>3.7128121200101467E-4</c:v>
                </c:pt>
                <c:pt idx="1001">
                  <c:v>3.6828960684667404E-4</c:v>
                </c:pt>
                <c:pt idx="1002">
                  <c:v>3.6532210660556412E-4</c:v>
                </c:pt>
                <c:pt idx="1003">
                  <c:v>3.623785170519058E-4</c:v>
                </c:pt>
                <c:pt idx="1004">
                  <c:v>3.594586455248977E-4</c:v>
                </c:pt>
                <c:pt idx="1005">
                  <c:v>3.5656230091610653E-4</c:v>
                </c:pt>
                <c:pt idx="1006">
                  <c:v>3.5368929365695853E-4</c:v>
                </c:pt>
                <c:pt idx="1007">
                  <c:v>3.5083943570633221E-4</c:v>
                </c:pt>
                <c:pt idx="1008">
                  <c:v>3.4801254053825096E-4</c:v>
                </c:pt>
                <c:pt idx="1009">
                  <c:v>3.4520842312967448E-4</c:v>
                </c:pt>
                <c:pt idx="1010">
                  <c:v>3.4242689994838909E-4</c:v>
                </c:pt>
                <c:pt idx="1011">
                  <c:v>3.3966778894099536E-4</c:v>
                </c:pt>
                <c:pt idx="1012">
                  <c:v>3.3693090952099231E-4</c:v>
                </c:pt>
                <c:pt idx="1013">
                  <c:v>3.342160825569581E-4</c:v>
                </c:pt>
                <c:pt idx="1014">
                  <c:v>3.315231303608254E-4</c:v>
                </c:pt>
                <c:pt idx="1015">
                  <c:v>3.2885187667625195E-4</c:v>
                </c:pt>
                <c:pt idx="1016">
                  <c:v>3.2620214666708423E-4</c:v>
                </c:pt>
                <c:pt idx="1017">
                  <c:v>3.2357376690591395E-4</c:v>
                </c:pt>
                <c:pt idx="1018">
                  <c:v>3.2096656536272761E-4</c:v>
                </c:pt>
                <c:pt idx="1019">
                  <c:v>3.1838037139364652E-4</c:v>
                </c:pt>
                <c:pt idx="1020">
                  <c:v>3.1581501572975821E-4</c:v>
                </c:pt>
                <c:pt idx="1021">
                  <c:v>3.1327033046603761E-4</c:v>
                </c:pt>
                <c:pt idx="1022">
                  <c:v>3.1074614905035738E-4</c:v>
                </c:pt>
                <c:pt idx="1023">
                  <c:v>3.0824230627258707E-4</c:v>
                </c:pt>
                <c:pt idx="1024">
                  <c:v>3.0575863825377979E-4</c:v>
                </c:pt>
                <c:pt idx="1025">
                  <c:v>3.0329498243544638E-4</c:v>
                </c:pt>
                <c:pt idx="1026">
                  <c:v>3.0085117756891555E-4</c:v>
                </c:pt>
                <c:pt idx="1027">
                  <c:v>2.9842706370478031E-4</c:v>
                </c:pt>
                <c:pt idx="1028">
                  <c:v>2.960224821824287E-4</c:v>
                </c:pt>
                <c:pt idx="1029">
                  <c:v>2.936372756196596E-4</c:v>
                </c:pt>
                <c:pt idx="1030">
                  <c:v>2.9127128790238207E-4</c:v>
                </c:pt>
                <c:pt idx="1031">
                  <c:v>2.889243641743971E-4</c:v>
                </c:pt>
                <c:pt idx="1032">
                  <c:v>2.8659635082726239E-4</c:v>
                </c:pt>
                <c:pt idx="1033">
                  <c:v>2.8428709549023842E-4</c:v>
                </c:pt>
                <c:pt idx="1034">
                  <c:v>2.8199644702031585E-4</c:v>
                </c:pt>
                <c:pt idx="1035">
                  <c:v>2.7972425549232274E-4</c:v>
                </c:pt>
                <c:pt idx="1036">
                  <c:v>2.7747037218911198E-4</c:v>
                </c:pt>
                <c:pt idx="1037">
                  <c:v>2.7523464959182772E-4</c:v>
                </c:pt>
                <c:pt idx="1038">
                  <c:v>2.7301694137024988E-4</c:v>
                </c:pt>
                <c:pt idx="1039">
                  <c:v>2.7081710237321675E-4</c:v>
                </c:pt>
                <c:pt idx="1040">
                  <c:v>2.6863498861912489E-4</c:v>
                </c:pt>
                <c:pt idx="1041">
                  <c:v>2.664704572865052E-4</c:v>
                </c:pt>
                <c:pt idx="1042">
                  <c:v>2.6432336670467515E-4</c:v>
                </c:pt>
                <c:pt idx="1043">
                  <c:v>2.6219357634446643E-4</c:v>
                </c:pt>
                <c:pt idx="1044">
                  <c:v>2.6008094680902695E-4</c:v>
                </c:pt>
                <c:pt idx="1045">
                  <c:v>2.5798533982469732E-4</c:v>
                </c:pt>
                <c:pt idx="1046">
                  <c:v>2.5590661823196082E-4</c:v>
                </c:pt>
                <c:pt idx="1047">
                  <c:v>2.5384464597646593E-4</c:v>
                </c:pt>
                <c:pt idx="1048">
                  <c:v>2.5179928810012154E-4</c:v>
                </c:pt>
                <c:pt idx="1049">
                  <c:v>2.4977041073226392E-4</c:v>
                </c:pt>
                <c:pt idx="1050">
                  <c:v>2.4775788108089442E-4</c:v>
                </c:pt>
                <c:pt idx="1051">
                  <c:v>2.4576156742398876E-4</c:v>
                </c:pt>
                <c:pt idx="1052">
                  <c:v>2.4378133910087492E-4</c:v>
                </c:pt>
                <c:pt idx="1053">
                  <c:v>2.4181706650368179E-4</c:v>
                </c:pt>
                <c:pt idx="1054">
                  <c:v>2.3986862106885605E-4</c:v>
                </c:pt>
                <c:pt idx="1055">
                  <c:v>2.379358752687475E-4</c:v>
                </c:pt>
                <c:pt idx="1056">
                  <c:v>2.3601870260326236E-4</c:v>
                </c:pt>
                <c:pt idx="1057">
                  <c:v>2.3411697759158367E-4</c:v>
                </c:pt>
                <c:pt idx="1058">
                  <c:v>2.3223057576395842E-4</c:v>
                </c:pt>
                <c:pt idx="1059">
                  <c:v>2.3035937365355091E-4</c:v>
                </c:pt>
                <c:pt idx="1060">
                  <c:v>2.2850324878836178E-4</c:v>
                </c:pt>
                <c:pt idx="1061">
                  <c:v>2.2666207968321197E-4</c:v>
                </c:pt>
                <c:pt idx="1062">
                  <c:v>2.2483574583179153E-4</c:v>
                </c:pt>
                <c:pt idx="1063">
                  <c:v>2.2302412769877226E-4</c:v>
                </c:pt>
                <c:pt idx="1064">
                  <c:v>2.2122710671198406E-4</c:v>
                </c:pt>
                <c:pt idx="1065">
                  <c:v>2.1944456525465434E-4</c:v>
                </c:pt>
                <c:pt idx="1066">
                  <c:v>2.1767638665770968E-4</c:v>
                </c:pt>
                <c:pt idx="1067">
                  <c:v>2.1592245519213993E-4</c:v>
                </c:pt>
                <c:pt idx="1068">
                  <c:v>2.1418265606142355E-4</c:v>
                </c:pt>
                <c:pt idx="1069">
                  <c:v>2.1245687539401403E-4</c:v>
                </c:pt>
                <c:pt idx="1070">
                  <c:v>2.10745000235887E-4</c:v>
                </c:pt>
                <c:pt idx="1071">
                  <c:v>2.0904691854314709E-4</c:v>
                </c:pt>
                <c:pt idx="1072">
                  <c:v>2.0736251917469482E-4</c:v>
                </c:pt>
                <c:pt idx="1073">
                  <c:v>2.0569169188495203E-4</c:v>
                </c:pt>
                <c:pt idx="1074">
                  <c:v>2.0403432731664635E-4</c:v>
                </c:pt>
                <c:pt idx="1075">
                  <c:v>2.0239031699365368E-4</c:v>
                </c:pt>
                <c:pt idx="1076">
                  <c:v>2.0075955331389818E-4</c:v>
                </c:pt>
                <c:pt idx="1077">
                  <c:v>1.9914192954230981E-4</c:v>
                </c:pt>
                <c:pt idx="1078">
                  <c:v>1.9753733980383824E-4</c:v>
                </c:pt>
                <c:pt idx="1079">
                  <c:v>1.9594567907652331E-4</c:v>
                </c:pt>
                <c:pt idx="1080">
                  <c:v>1.9436684318462123E-4</c:v>
                </c:pt>
                <c:pt idx="1081">
                  <c:v>1.9280072879178619E-4</c:v>
                </c:pt>
                <c:pt idx="1082">
                  <c:v>1.912472333943068E-4</c:v>
                </c:pt>
                <c:pt idx="1083">
                  <c:v>1.897062553143973E-4</c:v>
                </c:pt>
                <c:pt idx="1084">
                  <c:v>1.8817769369354251E-4</c:v>
                </c:pt>
                <c:pt idx="1085">
                  <c:v>1.866614484858965E-4</c:v>
                </c:pt>
                <c:pt idx="1086">
                  <c:v>1.8515742045173471E-4</c:v>
                </c:pt>
                <c:pt idx="1087">
                  <c:v>1.8366551115095835E-4</c:v>
                </c:pt>
                <c:pt idx="1088">
                  <c:v>1.8218562293665161E-4</c:v>
                </c:pt>
                <c:pt idx="1089">
                  <c:v>1.8071765894869048E-4</c:v>
                </c:pt>
                <c:pt idx="1090">
                  <c:v>1.7926152310740316E-4</c:v>
                </c:pt>
                <c:pt idx="1091">
                  <c:v>1.7781712010728152E-4</c:v>
                </c:pt>
                <c:pt idx="1092">
                  <c:v>1.7638435541074337E-4</c:v>
                </c:pt>
                <c:pt idx="1093">
                  <c:v>1.749631352419448E-4</c:v>
                </c:pt>
                <c:pt idx="1094">
                  <c:v>1.735533665806424E-4</c:v>
                </c:pt>
                <c:pt idx="1095">
                  <c:v>1.7215495715610518E-4</c:v>
                </c:pt>
                <c:pt idx="1096">
                  <c:v>1.7076781544107521E-4</c:v>
                </c:pt>
                <c:pt idx="1097">
                  <c:v>1.6939185064577709E-4</c:v>
                </c:pt>
                <c:pt idx="1098">
                  <c:v>1.6802697271197571E-4</c:v>
                </c:pt>
                <c:pt idx="1099">
                  <c:v>1.6667309230708192E-4</c:v>
                </c:pt>
                <c:pt idx="1100">
                  <c:v>1.6533012081830538E-4</c:v>
                </c:pt>
                <c:pt idx="1101">
                  <c:v>1.6399797034685504E-4</c:v>
                </c:pt>
                <c:pt idx="1102">
                  <c:v>1.6267655370218593E-4</c:v>
                </c:pt>
                <c:pt idx="1103">
                  <c:v>1.6136578439629253E-4</c:v>
                </c:pt>
                <c:pt idx="1104">
                  <c:v>1.6006557663804795E-4</c:v>
                </c:pt>
                <c:pt idx="1105">
                  <c:v>1.587758453275889E-4</c:v>
                </c:pt>
                <c:pt idx="1106">
                  <c:v>1.5749650605074582E-4</c:v>
                </c:pt>
                <c:pt idx="1107">
                  <c:v>1.5622747507351779E-4</c:v>
                </c:pt>
                <c:pt idx="1108">
                  <c:v>1.5496866933659221E-4</c:v>
                </c:pt>
                <c:pt idx="1109">
                  <c:v>1.5372000644990838E-4</c:v>
                </c:pt>
                <c:pt idx="1110">
                  <c:v>1.52481404687265E-4</c:v>
                </c:pt>
                <c:pt idx="1111">
                  <c:v>1.5125278298097118E-4</c:v>
                </c:pt>
                <c:pt idx="1112">
                  <c:v>1.500340609165404E-4</c:v>
                </c:pt>
                <c:pt idx="1113">
                  <c:v>1.4882515872742733E-4</c:v>
                </c:pt>
                <c:pt idx="1114">
                  <c:v>1.4762599728980708E-4</c:v>
                </c:pt>
                <c:pt idx="1115">
                  <c:v>1.4643649811739635E-4</c:v>
                </c:pt>
                <c:pt idx="1116">
                  <c:v>1.4525658335631653E-4</c:v>
                </c:pt>
                <c:pt idx="1117">
                  <c:v>1.4408617577999814E-4</c:v>
                </c:pt>
                <c:pt idx="1118">
                  <c:v>1.4292519878412606E-4</c:v>
                </c:pt>
                <c:pt idx="1119">
                  <c:v>1.4177357638162598E-4</c:v>
                </c:pt>
                <c:pt idx="1120">
                  <c:v>1.4063123319769073E-4</c:v>
                </c:pt>
                <c:pt idx="1121">
                  <c:v>1.3949809446484708E-4</c:v>
                </c:pt>
                <c:pt idx="1122">
                  <c:v>1.3837408601806203E-4</c:v>
                </c:pt>
                <c:pt idx="1123">
                  <c:v>1.3725913428988871E-4</c:v>
                </c:pt>
                <c:pt idx="1124">
                  <c:v>1.3615316630565137E-4</c:v>
                </c:pt>
                <c:pt idx="1125">
                  <c:v>1.3505610967866894E-4</c:v>
                </c:pt>
                <c:pt idx="1126">
                  <c:v>1.3396789260551741E-4</c:v>
                </c:pt>
                <c:pt idx="1127">
                  <c:v>1.3288844386133016E-4</c:v>
                </c:pt>
                <c:pt idx="1128">
                  <c:v>1.3181769279513623E-4</c:v>
                </c:pt>
                <c:pt idx="1129">
                  <c:v>1.3075556932523616E-4</c:v>
                </c:pt>
                <c:pt idx="1130">
                  <c:v>1.2970200393461504E-4</c:v>
                </c:pt>
                <c:pt idx="1131">
                  <c:v>1.2865692766639267E-4</c:v>
                </c:pt>
                <c:pt idx="1132">
                  <c:v>1.2762027211931005E-4</c:v>
                </c:pt>
                <c:pt idx="1133">
                  <c:v>1.2659196944325262E-4</c:v>
                </c:pt>
                <c:pt idx="1134">
                  <c:v>1.2557195233480942E-4</c:v>
                </c:pt>
                <c:pt idx="1135">
                  <c:v>1.2456015403286785E-4</c:v>
                </c:pt>
                <c:pt idx="1136">
                  <c:v>1.2355650831424427E-4</c:v>
                </c:pt>
                <c:pt idx="1137">
                  <c:v>1.2256094948934952E-4</c:v>
                </c:pt>
                <c:pt idx="1138">
                  <c:v>1.2157341239788954E-4</c:v>
                </c:pt>
                <c:pt idx="1139">
                  <c:v>1.2059383240460049E-4</c:v>
                </c:pt>
                <c:pt idx="1140">
                  <c:v>1.1962214539501837E-4</c:v>
                </c:pt>
                <c:pt idx="1141">
                  <c:v>1.1865828777128263E-4</c:v>
                </c:pt>
                <c:pt idx="1142">
                  <c:v>1.1770219644797368E-4</c:v>
                </c:pt>
                <c:pt idx="1143">
                  <c:v>1.167538088479838E-4</c:v>
                </c:pt>
                <c:pt idx="1144">
                  <c:v>1.1581306289842152E-4</c:v>
                </c:pt>
                <c:pt idx="1145">
                  <c:v>1.1487989702654878E-4</c:v>
                </c:pt>
                <c:pt idx="1146">
                  <c:v>1.13954250155751E-4</c:v>
                </c:pt>
                <c:pt idx="1147">
                  <c:v>1.1303606170153954E-4</c:v>
                </c:pt>
                <c:pt idx="1148">
                  <c:v>1.121252715675864E-4</c:v>
                </c:pt>
                <c:pt idx="1149">
                  <c:v>1.112218201417908E-4</c:v>
                </c:pt>
                <c:pt idx="1150">
                  <c:v>1.1032564829237758E-4</c:v>
                </c:pt>
                <c:pt idx="1151">
                  <c:v>1.0943669736402696E-4</c:v>
                </c:pt>
                <c:pt idx="1152">
                  <c:v>1.0855490917403542E-4</c:v>
                </c:pt>
                <c:pt idx="1153">
                  <c:v>1.0768022600850767E-4</c:v>
                </c:pt>
                <c:pt idx="1154">
                  <c:v>1.068125906185792E-4</c:v>
                </c:pt>
                <c:pt idx="1155">
                  <c:v>1.0595194621666924E-4</c:v>
                </c:pt>
                <c:pt idx="1156">
                  <c:v>1.0509823647276401E-4</c:v>
                </c:pt>
                <c:pt idx="1157">
                  <c:v>1.0425140551072983E-4</c:v>
                </c:pt>
                <c:pt idx="1158">
                  <c:v>1.0341139790465602E-4</c:v>
                </c:pt>
                <c:pt idx="1159">
                  <c:v>1.0257815867522715E-4</c:v>
                </c:pt>
                <c:pt idx="1160">
                  <c:v>1.0175163328612467E-4</c:v>
                </c:pt>
                <c:pt idx="1161">
                  <c:v>1.0093176764045738E-4</c:v>
                </c:pt>
                <c:pt idx="1162">
                  <c:v>1.0011850807722076E-4</c:v>
                </c:pt>
                <c:pt idx="1163">
                  <c:v>9.9311801367784873E-5</c:v>
                </c:pt>
                <c:pt idx="1164">
                  <c:v>9.8511594712410373E-5</c:v>
                </c:pt>
                <c:pt idx="1165">
                  <c:v>9.771783573679284E-5</c:v>
                </c:pt>
                <c:pt idx="1166">
                  <c:v>9.693047248863472E-5</c:v>
                </c:pt>
                <c:pt idx="1167">
                  <c:v>9.6149453434245071E-5</c:v>
                </c:pt>
                <c:pt idx="1168">
                  <c:v>9.5374727455166606E-5</c:v>
                </c:pt>
                <c:pt idx="1169">
                  <c:v>9.4606243844829943E-5</c:v>
                </c:pt>
                <c:pt idx="1170">
                  <c:v>9.3843952305234807E-5</c:v>
                </c:pt>
                <c:pt idx="1171">
                  <c:v>9.3087802943657986E-5</c:v>
                </c:pt>
                <c:pt idx="1172">
                  <c:v>9.2337746269387778E-5</c:v>
                </c:pt>
                <c:pt idx="1173">
                  <c:v>9.1593733190484822E-5</c:v>
                </c:pt>
                <c:pt idx="1174">
                  <c:v>9.0855715010568924E-5</c:v>
                </c:pt>
                <c:pt idx="1175">
                  <c:v>9.0123643425631898E-5</c:v>
                </c:pt>
                <c:pt idx="1176">
                  <c:v>8.9397470520875962E-5</c:v>
                </c:pt>
                <c:pt idx="1177">
                  <c:v>8.8677148767577716E-5</c:v>
                </c:pt>
                <c:pt idx="1178">
                  <c:v>8.7962631019977301E-5</c:v>
                </c:pt>
                <c:pt idx="1179">
                  <c:v>8.7253870512192684E-5</c:v>
                </c:pt>
                <c:pt idx="1180">
                  <c:v>8.6550820855158778E-5</c:v>
                </c:pt>
                <c:pt idx="1181">
                  <c:v>8.5853436033591238E-5</c:v>
                </c:pt>
                <c:pt idx="1182">
                  <c:v>8.5161670402974731E-5</c:v>
                </c:pt>
                <c:pt idx="1183">
                  <c:v>8.4475478686575397E-5</c:v>
                </c:pt>
                <c:pt idx="1184">
                  <c:v>8.3794815972477551E-5</c:v>
                </c:pt>
                <c:pt idx="1185">
                  <c:v>8.3119637710644031E-5</c:v>
                </c:pt>
                <c:pt idx="1186">
                  <c:v>8.2449899710000427E-5</c:v>
                </c:pt>
                <c:pt idx="1187">
                  <c:v>8.1785558135542765E-5</c:v>
                </c:pt>
                <c:pt idx="1188">
                  <c:v>8.1126569505468346E-5</c:v>
                </c:pt>
                <c:pt idx="1189">
                  <c:v>8.047289068832996E-5</c:v>
                </c:pt>
                <c:pt idx="1190">
                  <c:v>7.9824478900212753E-5</c:v>
                </c:pt>
                <c:pt idx="1191">
                  <c:v>7.9181291701934119E-5</c:v>
                </c:pt>
                <c:pt idx="1192">
                  <c:v>7.8543286996265874E-5</c:v>
                </c:pt>
                <c:pt idx="1193">
                  <c:v>7.7910423025179059E-5</c:v>
                </c:pt>
                <c:pt idx="1194">
                  <c:v>7.7282658367110798E-5</c:v>
                </c:pt>
                <c:pt idx="1195">
                  <c:v>7.6659951934253198E-5</c:v>
                </c:pt>
                <c:pt idx="1196">
                  <c:v>7.6042262969864161E-5</c:v>
                </c:pt>
                <c:pt idx="1197">
                  <c:v>7.5429551045599734E-5</c:v>
                </c:pt>
                <c:pt idx="1198">
                  <c:v>7.4821776058868109E-5</c:v>
                </c:pt>
                <c:pt idx="1199">
                  <c:v>7.4218898230204869E-5</c:v>
                </c:pt>
                <c:pt idx="1200">
                  <c:v>7.3620878100669315E-5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2-4084-AD98-064D4BFF3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241936"/>
        <c:axId val="1749222736"/>
      </c:lineChart>
      <c:catAx>
        <c:axId val="174924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49222736"/>
        <c:crosses val="autoZero"/>
        <c:auto val="1"/>
        <c:lblAlgn val="ctr"/>
        <c:lblOffset val="100"/>
        <c:noMultiLvlLbl val="0"/>
      </c:catAx>
      <c:valAx>
        <c:axId val="17492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4924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Blad3!$G$1</c:f>
              <c:strCache>
                <c:ptCount val="1"/>
                <c:pt idx="0">
                  <c:v>Pressure 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Blad3!$G$2:$G$1202</c:f>
              <c:numCache>
                <c:formatCode>General</c:formatCode>
                <c:ptCount val="1201"/>
                <c:pt idx="0" formatCode="0.0000000000">
                  <c:v>101325</c:v>
                </c:pt>
                <c:pt idx="1">
                  <c:v>101325</c:v>
                </c:pt>
                <c:pt idx="2">
                  <c:v>101325</c:v>
                </c:pt>
                <c:pt idx="3">
                  <c:v>101325</c:v>
                </c:pt>
                <c:pt idx="4">
                  <c:v>101325</c:v>
                </c:pt>
                <c:pt idx="5">
                  <c:v>101325</c:v>
                </c:pt>
                <c:pt idx="6">
                  <c:v>101325</c:v>
                </c:pt>
                <c:pt idx="7">
                  <c:v>101325</c:v>
                </c:pt>
                <c:pt idx="8">
                  <c:v>101325</c:v>
                </c:pt>
                <c:pt idx="9">
                  <c:v>101325</c:v>
                </c:pt>
                <c:pt idx="10">
                  <c:v>101325</c:v>
                </c:pt>
                <c:pt idx="11">
                  <c:v>101325</c:v>
                </c:pt>
                <c:pt idx="12">
                  <c:v>101325</c:v>
                </c:pt>
                <c:pt idx="13">
                  <c:v>101325</c:v>
                </c:pt>
                <c:pt idx="14">
                  <c:v>101325</c:v>
                </c:pt>
                <c:pt idx="15">
                  <c:v>101325</c:v>
                </c:pt>
                <c:pt idx="16">
                  <c:v>101325</c:v>
                </c:pt>
                <c:pt idx="17">
                  <c:v>101325</c:v>
                </c:pt>
                <c:pt idx="18">
                  <c:v>101325</c:v>
                </c:pt>
                <c:pt idx="19">
                  <c:v>101325</c:v>
                </c:pt>
                <c:pt idx="20">
                  <c:v>101325</c:v>
                </c:pt>
                <c:pt idx="21">
                  <c:v>101325</c:v>
                </c:pt>
                <c:pt idx="22">
                  <c:v>101325</c:v>
                </c:pt>
                <c:pt idx="23">
                  <c:v>101325</c:v>
                </c:pt>
                <c:pt idx="24">
                  <c:v>101325</c:v>
                </c:pt>
                <c:pt idx="25">
                  <c:v>101325</c:v>
                </c:pt>
                <c:pt idx="26">
                  <c:v>101325</c:v>
                </c:pt>
                <c:pt idx="27">
                  <c:v>101325</c:v>
                </c:pt>
                <c:pt idx="28">
                  <c:v>101325</c:v>
                </c:pt>
                <c:pt idx="29">
                  <c:v>101325</c:v>
                </c:pt>
                <c:pt idx="30">
                  <c:v>101325</c:v>
                </c:pt>
                <c:pt idx="31">
                  <c:v>101325</c:v>
                </c:pt>
                <c:pt idx="32">
                  <c:v>101325</c:v>
                </c:pt>
                <c:pt idx="33">
                  <c:v>101325</c:v>
                </c:pt>
                <c:pt idx="34">
                  <c:v>101325</c:v>
                </c:pt>
                <c:pt idx="35">
                  <c:v>101325</c:v>
                </c:pt>
                <c:pt idx="36">
                  <c:v>101325</c:v>
                </c:pt>
                <c:pt idx="37">
                  <c:v>101325</c:v>
                </c:pt>
                <c:pt idx="38">
                  <c:v>101325</c:v>
                </c:pt>
                <c:pt idx="39">
                  <c:v>101325</c:v>
                </c:pt>
                <c:pt idx="40">
                  <c:v>101325</c:v>
                </c:pt>
                <c:pt idx="41">
                  <c:v>101325</c:v>
                </c:pt>
                <c:pt idx="42">
                  <c:v>101325</c:v>
                </c:pt>
                <c:pt idx="43">
                  <c:v>101325</c:v>
                </c:pt>
                <c:pt idx="44">
                  <c:v>101325</c:v>
                </c:pt>
                <c:pt idx="45">
                  <c:v>101325</c:v>
                </c:pt>
                <c:pt idx="46">
                  <c:v>101325</c:v>
                </c:pt>
                <c:pt idx="47">
                  <c:v>101325</c:v>
                </c:pt>
                <c:pt idx="48">
                  <c:v>101325</c:v>
                </c:pt>
                <c:pt idx="49">
                  <c:v>101325</c:v>
                </c:pt>
                <c:pt idx="50">
                  <c:v>101325</c:v>
                </c:pt>
                <c:pt idx="51">
                  <c:v>101325</c:v>
                </c:pt>
                <c:pt idx="52">
                  <c:v>101325</c:v>
                </c:pt>
                <c:pt idx="53">
                  <c:v>101325</c:v>
                </c:pt>
                <c:pt idx="54">
                  <c:v>101325</c:v>
                </c:pt>
                <c:pt idx="55">
                  <c:v>101325</c:v>
                </c:pt>
                <c:pt idx="56">
                  <c:v>101325</c:v>
                </c:pt>
                <c:pt idx="57">
                  <c:v>101325</c:v>
                </c:pt>
                <c:pt idx="58">
                  <c:v>101325</c:v>
                </c:pt>
                <c:pt idx="59">
                  <c:v>101325</c:v>
                </c:pt>
                <c:pt idx="60">
                  <c:v>101325</c:v>
                </c:pt>
                <c:pt idx="61">
                  <c:v>101325</c:v>
                </c:pt>
                <c:pt idx="62">
                  <c:v>101325</c:v>
                </c:pt>
                <c:pt idx="63">
                  <c:v>101325</c:v>
                </c:pt>
                <c:pt idx="64">
                  <c:v>101325</c:v>
                </c:pt>
                <c:pt idx="65">
                  <c:v>101325</c:v>
                </c:pt>
                <c:pt idx="66">
                  <c:v>101325</c:v>
                </c:pt>
                <c:pt idx="67">
                  <c:v>101325</c:v>
                </c:pt>
                <c:pt idx="68">
                  <c:v>101325</c:v>
                </c:pt>
                <c:pt idx="69">
                  <c:v>101325</c:v>
                </c:pt>
                <c:pt idx="70">
                  <c:v>101325</c:v>
                </c:pt>
                <c:pt idx="71">
                  <c:v>101325</c:v>
                </c:pt>
                <c:pt idx="72">
                  <c:v>101325</c:v>
                </c:pt>
                <c:pt idx="73">
                  <c:v>101325</c:v>
                </c:pt>
                <c:pt idx="74">
                  <c:v>101325</c:v>
                </c:pt>
                <c:pt idx="75">
                  <c:v>101325</c:v>
                </c:pt>
                <c:pt idx="76">
                  <c:v>101325</c:v>
                </c:pt>
                <c:pt idx="77">
                  <c:v>101325</c:v>
                </c:pt>
                <c:pt idx="78">
                  <c:v>101325</c:v>
                </c:pt>
                <c:pt idx="79">
                  <c:v>101325</c:v>
                </c:pt>
                <c:pt idx="80">
                  <c:v>101325</c:v>
                </c:pt>
                <c:pt idx="81">
                  <c:v>101325</c:v>
                </c:pt>
                <c:pt idx="82">
                  <c:v>101325</c:v>
                </c:pt>
                <c:pt idx="83">
                  <c:v>101325</c:v>
                </c:pt>
                <c:pt idx="84">
                  <c:v>101325</c:v>
                </c:pt>
                <c:pt idx="85">
                  <c:v>101325</c:v>
                </c:pt>
                <c:pt idx="86">
                  <c:v>101325</c:v>
                </c:pt>
                <c:pt idx="87">
                  <c:v>101325</c:v>
                </c:pt>
                <c:pt idx="88">
                  <c:v>101325</c:v>
                </c:pt>
                <c:pt idx="89">
                  <c:v>101325</c:v>
                </c:pt>
                <c:pt idx="90">
                  <c:v>101325</c:v>
                </c:pt>
                <c:pt idx="91">
                  <c:v>101325</c:v>
                </c:pt>
                <c:pt idx="92">
                  <c:v>101325</c:v>
                </c:pt>
                <c:pt idx="93">
                  <c:v>101325</c:v>
                </c:pt>
                <c:pt idx="94">
                  <c:v>101325</c:v>
                </c:pt>
                <c:pt idx="95">
                  <c:v>101325</c:v>
                </c:pt>
                <c:pt idx="96">
                  <c:v>101325</c:v>
                </c:pt>
                <c:pt idx="97">
                  <c:v>101325</c:v>
                </c:pt>
                <c:pt idx="98">
                  <c:v>101325</c:v>
                </c:pt>
                <c:pt idx="99">
                  <c:v>101325</c:v>
                </c:pt>
                <c:pt idx="100">
                  <c:v>101325</c:v>
                </c:pt>
                <c:pt idx="101">
                  <c:v>101325</c:v>
                </c:pt>
                <c:pt idx="102">
                  <c:v>101325</c:v>
                </c:pt>
                <c:pt idx="103">
                  <c:v>101325</c:v>
                </c:pt>
                <c:pt idx="104">
                  <c:v>101325</c:v>
                </c:pt>
                <c:pt idx="105">
                  <c:v>101325</c:v>
                </c:pt>
                <c:pt idx="106">
                  <c:v>101325</c:v>
                </c:pt>
                <c:pt idx="107">
                  <c:v>101325</c:v>
                </c:pt>
                <c:pt idx="108">
                  <c:v>101325</c:v>
                </c:pt>
                <c:pt idx="109">
                  <c:v>101325</c:v>
                </c:pt>
                <c:pt idx="110">
                  <c:v>101325</c:v>
                </c:pt>
                <c:pt idx="111">
                  <c:v>101325</c:v>
                </c:pt>
                <c:pt idx="112">
                  <c:v>101325</c:v>
                </c:pt>
                <c:pt idx="113">
                  <c:v>101325</c:v>
                </c:pt>
                <c:pt idx="114">
                  <c:v>101325</c:v>
                </c:pt>
                <c:pt idx="115">
                  <c:v>101325</c:v>
                </c:pt>
                <c:pt idx="116">
                  <c:v>101325</c:v>
                </c:pt>
                <c:pt idx="117">
                  <c:v>101325</c:v>
                </c:pt>
                <c:pt idx="118">
                  <c:v>101325</c:v>
                </c:pt>
                <c:pt idx="119">
                  <c:v>101325</c:v>
                </c:pt>
                <c:pt idx="120">
                  <c:v>101325</c:v>
                </c:pt>
                <c:pt idx="121">
                  <c:v>101325</c:v>
                </c:pt>
                <c:pt idx="122">
                  <c:v>101325</c:v>
                </c:pt>
                <c:pt idx="123">
                  <c:v>101325</c:v>
                </c:pt>
                <c:pt idx="124">
                  <c:v>101325</c:v>
                </c:pt>
                <c:pt idx="125">
                  <c:v>101325</c:v>
                </c:pt>
                <c:pt idx="126">
                  <c:v>101325</c:v>
                </c:pt>
                <c:pt idx="127">
                  <c:v>101325</c:v>
                </c:pt>
                <c:pt idx="128">
                  <c:v>101325</c:v>
                </c:pt>
                <c:pt idx="129">
                  <c:v>101325</c:v>
                </c:pt>
                <c:pt idx="130">
                  <c:v>101325</c:v>
                </c:pt>
                <c:pt idx="131">
                  <c:v>101325</c:v>
                </c:pt>
                <c:pt idx="132">
                  <c:v>101325</c:v>
                </c:pt>
                <c:pt idx="133">
                  <c:v>101325</c:v>
                </c:pt>
                <c:pt idx="134">
                  <c:v>101325</c:v>
                </c:pt>
                <c:pt idx="135">
                  <c:v>101325</c:v>
                </c:pt>
                <c:pt idx="136">
                  <c:v>101325</c:v>
                </c:pt>
                <c:pt idx="137">
                  <c:v>101325</c:v>
                </c:pt>
                <c:pt idx="138">
                  <c:v>101325</c:v>
                </c:pt>
                <c:pt idx="139">
                  <c:v>101325</c:v>
                </c:pt>
                <c:pt idx="140">
                  <c:v>101325</c:v>
                </c:pt>
                <c:pt idx="141">
                  <c:v>101325</c:v>
                </c:pt>
                <c:pt idx="142">
                  <c:v>101325</c:v>
                </c:pt>
                <c:pt idx="143">
                  <c:v>101325</c:v>
                </c:pt>
                <c:pt idx="144">
                  <c:v>101325</c:v>
                </c:pt>
                <c:pt idx="145">
                  <c:v>101325</c:v>
                </c:pt>
                <c:pt idx="146">
                  <c:v>101325</c:v>
                </c:pt>
                <c:pt idx="147">
                  <c:v>101325</c:v>
                </c:pt>
                <c:pt idx="148">
                  <c:v>101325</c:v>
                </c:pt>
                <c:pt idx="149">
                  <c:v>101325</c:v>
                </c:pt>
                <c:pt idx="150">
                  <c:v>101325</c:v>
                </c:pt>
                <c:pt idx="151">
                  <c:v>101325</c:v>
                </c:pt>
                <c:pt idx="152">
                  <c:v>101325</c:v>
                </c:pt>
                <c:pt idx="153">
                  <c:v>101325</c:v>
                </c:pt>
                <c:pt idx="154">
                  <c:v>101325</c:v>
                </c:pt>
                <c:pt idx="155">
                  <c:v>101325</c:v>
                </c:pt>
                <c:pt idx="156">
                  <c:v>101325</c:v>
                </c:pt>
                <c:pt idx="157">
                  <c:v>101325</c:v>
                </c:pt>
                <c:pt idx="158">
                  <c:v>101325</c:v>
                </c:pt>
                <c:pt idx="159">
                  <c:v>101325</c:v>
                </c:pt>
                <c:pt idx="160">
                  <c:v>101325</c:v>
                </c:pt>
                <c:pt idx="161">
                  <c:v>101325</c:v>
                </c:pt>
                <c:pt idx="162">
                  <c:v>101325</c:v>
                </c:pt>
                <c:pt idx="163">
                  <c:v>101325</c:v>
                </c:pt>
                <c:pt idx="164">
                  <c:v>101325</c:v>
                </c:pt>
                <c:pt idx="165">
                  <c:v>101325</c:v>
                </c:pt>
                <c:pt idx="166">
                  <c:v>101325</c:v>
                </c:pt>
                <c:pt idx="167">
                  <c:v>101325</c:v>
                </c:pt>
                <c:pt idx="168">
                  <c:v>101325</c:v>
                </c:pt>
                <c:pt idx="169">
                  <c:v>101325</c:v>
                </c:pt>
                <c:pt idx="170">
                  <c:v>101325</c:v>
                </c:pt>
                <c:pt idx="171">
                  <c:v>101325</c:v>
                </c:pt>
                <c:pt idx="172">
                  <c:v>101325</c:v>
                </c:pt>
                <c:pt idx="173">
                  <c:v>101325</c:v>
                </c:pt>
                <c:pt idx="174">
                  <c:v>101325</c:v>
                </c:pt>
                <c:pt idx="175">
                  <c:v>101325</c:v>
                </c:pt>
                <c:pt idx="176">
                  <c:v>101325</c:v>
                </c:pt>
                <c:pt idx="177">
                  <c:v>101325</c:v>
                </c:pt>
                <c:pt idx="178">
                  <c:v>101325</c:v>
                </c:pt>
                <c:pt idx="179">
                  <c:v>101325</c:v>
                </c:pt>
                <c:pt idx="180">
                  <c:v>101325</c:v>
                </c:pt>
                <c:pt idx="181">
                  <c:v>101325</c:v>
                </c:pt>
                <c:pt idx="182">
                  <c:v>101325</c:v>
                </c:pt>
                <c:pt idx="183">
                  <c:v>101325</c:v>
                </c:pt>
                <c:pt idx="184">
                  <c:v>101325</c:v>
                </c:pt>
                <c:pt idx="185">
                  <c:v>101325</c:v>
                </c:pt>
                <c:pt idx="186">
                  <c:v>101325</c:v>
                </c:pt>
                <c:pt idx="187">
                  <c:v>101325</c:v>
                </c:pt>
                <c:pt idx="188">
                  <c:v>101325</c:v>
                </c:pt>
                <c:pt idx="189">
                  <c:v>101325</c:v>
                </c:pt>
                <c:pt idx="190">
                  <c:v>101325</c:v>
                </c:pt>
                <c:pt idx="191">
                  <c:v>101325</c:v>
                </c:pt>
                <c:pt idx="192">
                  <c:v>101325</c:v>
                </c:pt>
                <c:pt idx="193">
                  <c:v>101325</c:v>
                </c:pt>
                <c:pt idx="194">
                  <c:v>101325</c:v>
                </c:pt>
                <c:pt idx="195">
                  <c:v>101325</c:v>
                </c:pt>
                <c:pt idx="196">
                  <c:v>101325</c:v>
                </c:pt>
                <c:pt idx="197">
                  <c:v>101325</c:v>
                </c:pt>
                <c:pt idx="198">
                  <c:v>101325</c:v>
                </c:pt>
                <c:pt idx="199">
                  <c:v>101325</c:v>
                </c:pt>
                <c:pt idx="200">
                  <c:v>101325</c:v>
                </c:pt>
                <c:pt idx="201">
                  <c:v>101325</c:v>
                </c:pt>
                <c:pt idx="202">
                  <c:v>101325</c:v>
                </c:pt>
                <c:pt idx="203">
                  <c:v>101325</c:v>
                </c:pt>
                <c:pt idx="204">
                  <c:v>101325</c:v>
                </c:pt>
                <c:pt idx="205">
                  <c:v>101325</c:v>
                </c:pt>
                <c:pt idx="206">
                  <c:v>101325</c:v>
                </c:pt>
                <c:pt idx="207">
                  <c:v>101325</c:v>
                </c:pt>
                <c:pt idx="208">
                  <c:v>101325</c:v>
                </c:pt>
                <c:pt idx="209">
                  <c:v>101325</c:v>
                </c:pt>
                <c:pt idx="210">
                  <c:v>101325</c:v>
                </c:pt>
                <c:pt idx="211">
                  <c:v>101325</c:v>
                </c:pt>
                <c:pt idx="212">
                  <c:v>101325</c:v>
                </c:pt>
                <c:pt idx="213">
                  <c:v>101325.00026848546</c:v>
                </c:pt>
                <c:pt idx="214">
                  <c:v>101325.00055551399</c:v>
                </c:pt>
                <c:pt idx="215">
                  <c:v>101325.00088826666</c:v>
                </c:pt>
                <c:pt idx="216">
                  <c:v>101325.00127308663</c:v>
                </c:pt>
                <c:pt idx="217">
                  <c:v>101325.00171434492</c:v>
                </c:pt>
                <c:pt idx="218">
                  <c:v>101325.00221536538</c:v>
                </c:pt>
                <c:pt idx="219">
                  <c:v>101325.00277868524</c:v>
                </c:pt>
                <c:pt idx="220">
                  <c:v>101325.00340615318</c:v>
                </c:pt>
                <c:pt idx="221">
                  <c:v>101325.0040989721</c:v>
                </c:pt>
                <c:pt idx="222">
                  <c:v>101325.0048577206</c:v>
                </c:pt>
                <c:pt idx="223">
                  <c:v>101325.00568236619</c:v>
                </c:pt>
                <c:pt idx="224">
                  <c:v>101325.00657227618</c:v>
                </c:pt>
                <c:pt idx="225">
                  <c:v>101325.00752622932</c:v>
                </c:pt>
                <c:pt idx="226">
                  <c:v>101325.00854242947</c:v>
                </c:pt>
                <c:pt idx="227">
                  <c:v>101325.00961852222</c:v>
                </c:pt>
                <c:pt idx="228">
                  <c:v>101325.01075161503</c:v>
                </c:pt>
                <c:pt idx="229">
                  <c:v>101325.01193830078</c:v>
                </c:pt>
                <c:pt idx="230">
                  <c:v>101325.01317468504</c:v>
                </c:pt>
                <c:pt idx="231">
                  <c:v>101325.01445641673</c:v>
                </c:pt>
                <c:pt idx="232">
                  <c:v>101325.01577872236</c:v>
                </c:pt>
                <c:pt idx="233">
                  <c:v>101325.01713644338</c:v>
                </c:pt>
                <c:pt idx="234">
                  <c:v>101325.0185240764</c:v>
                </c:pt>
                <c:pt idx="235">
                  <c:v>101325.01993581626</c:v>
                </c:pt>
                <c:pt idx="236">
                  <c:v>101325.02136560139</c:v>
                </c:pt>
                <c:pt idx="237">
                  <c:v>101325.02280716113</c:v>
                </c:pt>
                <c:pt idx="238">
                  <c:v>101325.02425406486</c:v>
                </c:pt>
                <c:pt idx="239">
                  <c:v>101325.02569977236</c:v>
                </c:pt>
                <c:pt idx="240">
                  <c:v>101325.02713768513</c:v>
                </c:pt>
                <c:pt idx="241">
                  <c:v>101325.02856149092</c:v>
                </c:pt>
                <c:pt idx="242">
                  <c:v>101325.029965222</c:v>
                </c:pt>
                <c:pt idx="243">
                  <c:v>101325.03134302907</c:v>
                </c:pt>
                <c:pt idx="244">
                  <c:v>101325.03268924879</c:v>
                </c:pt>
                <c:pt idx="245">
                  <c:v>101325.03399846908</c:v>
                </c:pt>
                <c:pt idx="246">
                  <c:v>101325.03526559166</c:v>
                </c:pt>
                <c:pt idx="247">
                  <c:v>101325.03648589106</c:v>
                </c:pt>
                <c:pt idx="248">
                  <c:v>101325.03765506954</c:v>
                </c:pt>
                <c:pt idx="249">
                  <c:v>101325.0387693072</c:v>
                </c:pt>
                <c:pt idx="250">
                  <c:v>101325.03982530684</c:v>
                </c:pt>
                <c:pt idx="251">
                  <c:v>101325.04082033299</c:v>
                </c:pt>
                <c:pt idx="252">
                  <c:v>101325.04175224472</c:v>
                </c:pt>
                <c:pt idx="253">
                  <c:v>101325.04261952192</c:v>
                </c:pt>
                <c:pt idx="254">
                  <c:v>101325.04342128456</c:v>
                </c:pt>
                <c:pt idx="255">
                  <c:v>101325.04415730489</c:v>
                </c:pt>
                <c:pt idx="256">
                  <c:v>101325.04482801244</c:v>
                </c:pt>
                <c:pt idx="257">
                  <c:v>101325.04543449158</c:v>
                </c:pt>
                <c:pt idx="258">
                  <c:v>101325.04597847178</c:v>
                </c:pt>
                <c:pt idx="259">
                  <c:v>101325.04646231081</c:v>
                </c:pt>
                <c:pt idx="260">
                  <c:v>101325.04688897065</c:v>
                </c:pt>
                <c:pt idx="261">
                  <c:v>101325.04726198685</c:v>
                </c:pt>
                <c:pt idx="262">
                  <c:v>101325.04758543131</c:v>
                </c:pt>
                <c:pt idx="263">
                  <c:v>101325.04786386905</c:v>
                </c:pt>
                <c:pt idx="264">
                  <c:v>101325.04810230946</c:v>
                </c:pt>
                <c:pt idx="265">
                  <c:v>101325.04830615252</c:v>
                </c:pt>
                <c:pt idx="266">
                  <c:v>101325.04848113051</c:v>
                </c:pt>
                <c:pt idx="267">
                  <c:v>101325.04863324609</c:v>
                </c:pt>
                <c:pt idx="268">
                  <c:v>101325.04876870717</c:v>
                </c:pt>
                <c:pt idx="269">
                  <c:v>101325.04889385957</c:v>
                </c:pt>
                <c:pt idx="270">
                  <c:v>101325.0490151179</c:v>
                </c:pt>
                <c:pt idx="271">
                  <c:v>101325.04913649311</c:v>
                </c:pt>
                <c:pt idx="272">
                  <c:v>101325.0492595649</c:v>
                </c:pt>
                <c:pt idx="273">
                  <c:v>101325.0493858861</c:v>
                </c:pt>
                <c:pt idx="274">
                  <c:v>101325.04951697109</c:v>
                </c:pt>
                <c:pt idx="275">
                  <c:v>101325.04965428426</c:v>
                </c:pt>
                <c:pt idx="276">
                  <c:v>101325.04979922909</c:v>
                </c:pt>
                <c:pt idx="277">
                  <c:v>101325.04995313758</c:v>
                </c:pt>
                <c:pt idx="278">
                  <c:v>101325.05011726024</c:v>
                </c:pt>
                <c:pt idx="279">
                  <c:v>101325.05029275667</c:v>
                </c:pt>
                <c:pt idx="280">
                  <c:v>101325.05048068697</c:v>
                </c:pt>
                <c:pt idx="281">
                  <c:v>101325.05068200374</c:v>
                </c:pt>
                <c:pt idx="282">
                  <c:v>101325.05089754498</c:v>
                </c:pt>
                <c:pt idx="283">
                  <c:v>101325.05112802787</c:v>
                </c:pt>
                <c:pt idx="284">
                  <c:v>101325.05137404353</c:v>
                </c:pt>
                <c:pt idx="285">
                  <c:v>101325.05163605252</c:v>
                </c:pt>
                <c:pt idx="286">
                  <c:v>101325.05191438162</c:v>
                </c:pt>
                <c:pt idx="287">
                  <c:v>101325.05220922142</c:v>
                </c:pt>
                <c:pt idx="288">
                  <c:v>101325.05252062502</c:v>
                </c:pt>
                <c:pt idx="289">
                  <c:v>101325.05284850777</c:v>
                </c:pt>
                <c:pt idx="290">
                  <c:v>101325.05319264803</c:v>
                </c:pt>
                <c:pt idx="291">
                  <c:v>101325.053552689</c:v>
                </c:pt>
                <c:pt idx="292">
                  <c:v>101325.05392814151</c:v>
                </c:pt>
                <c:pt idx="293">
                  <c:v>101325.05431838788</c:v>
                </c:pt>
                <c:pt idx="294">
                  <c:v>101325.05472268668</c:v>
                </c:pt>
                <c:pt idx="295">
                  <c:v>101325.05514017845</c:v>
                </c:pt>
                <c:pt idx="296">
                  <c:v>101325.05556989236</c:v>
                </c:pt>
                <c:pt idx="297">
                  <c:v>101325.05601075359</c:v>
                </c:pt>
                <c:pt idx="298">
                  <c:v>101325.05646159159</c:v>
                </c:pt>
                <c:pt idx="299">
                  <c:v>101325.05692114904</c:v>
                </c:pt>
                <c:pt idx="300">
                  <c:v>101325.05738809137</c:v>
                </c:pt>
                <c:pt idx="301">
                  <c:v>101325.05786101706</c:v>
                </c:pt>
                <c:pt idx="302">
                  <c:v>101325.05833846821</c:v>
                </c:pt>
                <c:pt idx="303">
                  <c:v>101325.0588189417</c:v>
                </c:pt>
                <c:pt idx="304">
                  <c:v>101325.05930090063</c:v>
                </c:pt>
                <c:pt idx="305">
                  <c:v>101325.05978278597</c:v>
                </c:pt>
                <c:pt idx="306">
                  <c:v>101325.06026302854</c:v>
                </c:pt>
                <c:pt idx="307">
                  <c:v>101325.06074024008</c:v>
                </c:pt>
                <c:pt idx="308">
                  <c:v>101325.06121321971</c:v>
                </c:pt>
                <c:pt idx="309">
                  <c:v>101325.06168077642</c:v>
                </c:pt>
                <c:pt idx="310">
                  <c:v>101325.06214173167</c:v>
                </c:pt>
                <c:pt idx="311">
                  <c:v>101325.06259492206</c:v>
                </c:pt>
                <c:pt idx="312">
                  <c:v>101325.06303920185</c:v>
                </c:pt>
                <c:pt idx="313">
                  <c:v>101325.06347344557</c:v>
                </c:pt>
                <c:pt idx="314">
                  <c:v>101325.06389655046</c:v>
                </c:pt>
                <c:pt idx="315">
                  <c:v>101325.06430743898</c:v>
                </c:pt>
                <c:pt idx="316">
                  <c:v>101325.06470506122</c:v>
                </c:pt>
                <c:pt idx="317">
                  <c:v>101325.06508839723</c:v>
                </c:pt>
                <c:pt idx="318">
                  <c:v>101325.06545645933</c:v>
                </c:pt>
                <c:pt idx="319">
                  <c:v>101325.06580829434</c:v>
                </c:pt>
                <c:pt idx="320">
                  <c:v>101325.06614298573</c:v>
                </c:pt>
                <c:pt idx="321">
                  <c:v>101325.0664596557</c:v>
                </c:pt>
                <c:pt idx="322">
                  <c:v>101325.0667574672</c:v>
                </c:pt>
                <c:pt idx="323">
                  <c:v>101325.06703562576</c:v>
                </c:pt>
                <c:pt idx="324">
                  <c:v>101325.06729338142</c:v>
                </c:pt>
                <c:pt idx="325">
                  <c:v>101325.06753003037</c:v>
                </c:pt>
                <c:pt idx="326">
                  <c:v>101325.0677449166</c:v>
                </c:pt>
                <c:pt idx="327">
                  <c:v>101325.06793743343</c:v>
                </c:pt>
                <c:pt idx="328">
                  <c:v>101325.06810702493</c:v>
                </c:pt>
                <c:pt idx="329">
                  <c:v>101325.06825318719</c:v>
                </c:pt>
                <c:pt idx="330">
                  <c:v>101325.06837546952</c:v>
                </c:pt>
                <c:pt idx="331">
                  <c:v>101325.06847347555</c:v>
                </c:pt>
                <c:pt idx="332">
                  <c:v>101325.06854686416</c:v>
                </c:pt>
                <c:pt idx="333">
                  <c:v>101325.0685953503</c:v>
                </c:pt>
                <c:pt idx="334">
                  <c:v>101325.06861870571</c:v>
                </c:pt>
                <c:pt idx="335">
                  <c:v>101325.06861675948</c:v>
                </c:pt>
                <c:pt idx="336">
                  <c:v>101325.06858939852</c:v>
                </c:pt>
                <c:pt idx="337">
                  <c:v>101325.06853656789</c:v>
                </c:pt>
                <c:pt idx="338">
                  <c:v>101325.06845827094</c:v>
                </c:pt>
                <c:pt idx="339">
                  <c:v>101325.0683545694</c:v>
                </c:pt>
                <c:pt idx="340">
                  <c:v>101325.06822558332</c:v>
                </c:pt>
                <c:pt idx="341">
                  <c:v>101325.06807149082</c:v>
                </c:pt>
                <c:pt idx="342">
                  <c:v>101325.06789252779</c:v>
                </c:pt>
                <c:pt idx="343">
                  <c:v>101325.06768898737</c:v>
                </c:pt>
                <c:pt idx="344">
                  <c:v>101325.0674612194</c:v>
                </c:pt>
                <c:pt idx="345">
                  <c:v>101325.06720962965</c:v>
                </c:pt>
                <c:pt idx="346">
                  <c:v>101325.06693467897</c:v>
                </c:pt>
                <c:pt idx="347">
                  <c:v>101325.06663688226</c:v>
                </c:pt>
                <c:pt idx="348">
                  <c:v>101325.06631680741</c:v>
                </c:pt>
                <c:pt idx="349">
                  <c:v>101325.06597507402</c:v>
                </c:pt>
                <c:pt idx="350">
                  <c:v>101325.06561235203</c:v>
                </c:pt>
                <c:pt idx="351">
                  <c:v>101325.0649805407</c:v>
                </c:pt>
                <c:pt idx="352">
                  <c:v>101325.06435177874</c:v>
                </c:pt>
                <c:pt idx="353">
                  <c:v>101325.06372606618</c:v>
                </c:pt>
                <c:pt idx="354">
                  <c:v>101325.06310340304</c:v>
                </c:pt>
                <c:pt idx="355">
                  <c:v>101325.06248378937</c:v>
                </c:pt>
                <c:pt idx="356">
                  <c:v>101325.0618672252</c:v>
                </c:pt>
                <c:pt idx="357">
                  <c:v>101325.06125371058</c:v>
                </c:pt>
                <c:pt idx="358">
                  <c:v>101325.06064324552</c:v>
                </c:pt>
                <c:pt idx="359">
                  <c:v>101325.06003583009</c:v>
                </c:pt>
                <c:pt idx="360">
                  <c:v>101325.05943146431</c:v>
                </c:pt>
                <c:pt idx="361">
                  <c:v>101325.05883014823</c:v>
                </c:pt>
                <c:pt idx="362">
                  <c:v>101325.05823188189</c:v>
                </c:pt>
                <c:pt idx="363">
                  <c:v>101325.05763666533</c:v>
                </c:pt>
                <c:pt idx="364">
                  <c:v>101325.05704449856</c:v>
                </c:pt>
                <c:pt idx="365">
                  <c:v>101325.05645538165</c:v>
                </c:pt>
                <c:pt idx="366">
                  <c:v>101325.05586931464</c:v>
                </c:pt>
                <c:pt idx="367">
                  <c:v>101325.05528629757</c:v>
                </c:pt>
                <c:pt idx="368">
                  <c:v>101325.05470633048</c:v>
                </c:pt>
                <c:pt idx="369">
                  <c:v>101325.0541294134</c:v>
                </c:pt>
                <c:pt idx="370">
                  <c:v>101325.05355554639</c:v>
                </c:pt>
                <c:pt idx="371">
                  <c:v>101325.05298472948</c:v>
                </c:pt>
                <c:pt idx="372">
                  <c:v>101325.05241696272</c:v>
                </c:pt>
                <c:pt idx="373">
                  <c:v>101325.05185224615</c:v>
                </c:pt>
                <c:pt idx="374">
                  <c:v>101325.05129057982</c:v>
                </c:pt>
                <c:pt idx="375">
                  <c:v>101325.05073196378</c:v>
                </c:pt>
                <c:pt idx="376">
                  <c:v>101325.05017639807</c:v>
                </c:pt>
                <c:pt idx="377">
                  <c:v>101325.04962388273</c:v>
                </c:pt>
                <c:pt idx="378">
                  <c:v>101325.04907441781</c:v>
                </c:pt>
                <c:pt idx="379">
                  <c:v>101325.04852800335</c:v>
                </c:pt>
                <c:pt idx="380">
                  <c:v>101325.0479846394</c:v>
                </c:pt>
                <c:pt idx="381">
                  <c:v>101325.04744432602</c:v>
                </c:pt>
                <c:pt idx="382">
                  <c:v>101325.04690706325</c:v>
                </c:pt>
                <c:pt idx="383">
                  <c:v>101325.04637285115</c:v>
                </c:pt>
                <c:pt idx="384">
                  <c:v>101325.04584168976</c:v>
                </c:pt>
                <c:pt idx="385">
                  <c:v>101325.04531357913</c:v>
                </c:pt>
                <c:pt idx="386">
                  <c:v>101325.04478851931</c:v>
                </c:pt>
                <c:pt idx="387">
                  <c:v>101325.04426651036</c:v>
                </c:pt>
                <c:pt idx="388">
                  <c:v>101325.04374755232</c:v>
                </c:pt>
                <c:pt idx="389">
                  <c:v>101325.04323164525</c:v>
                </c:pt>
                <c:pt idx="390">
                  <c:v>101325.04271878919</c:v>
                </c:pt>
                <c:pt idx="391">
                  <c:v>101325.04220898422</c:v>
                </c:pt>
                <c:pt idx="392">
                  <c:v>101325.04170223037</c:v>
                </c:pt>
                <c:pt idx="393">
                  <c:v>101325.04119852772</c:v>
                </c:pt>
                <c:pt idx="394">
                  <c:v>101325.04069787631</c:v>
                </c:pt>
                <c:pt idx="395">
                  <c:v>101325.04020027618</c:v>
                </c:pt>
                <c:pt idx="396">
                  <c:v>101325.03970572742</c:v>
                </c:pt>
                <c:pt idx="397">
                  <c:v>101325.03921423007</c:v>
                </c:pt>
                <c:pt idx="398">
                  <c:v>101325.03872578419</c:v>
                </c:pt>
                <c:pt idx="399">
                  <c:v>101325.03824038985</c:v>
                </c:pt>
                <c:pt idx="400">
                  <c:v>101325.0377580471</c:v>
                </c:pt>
                <c:pt idx="401">
                  <c:v>101325.03727875599</c:v>
                </c:pt>
                <c:pt idx="402">
                  <c:v>101325.03680251661</c:v>
                </c:pt>
                <c:pt idx="403">
                  <c:v>101325.036329329</c:v>
                </c:pt>
                <c:pt idx="404">
                  <c:v>101325.03585919323</c:v>
                </c:pt>
                <c:pt idx="405">
                  <c:v>101325.03539210938</c:v>
                </c:pt>
                <c:pt idx="406">
                  <c:v>101325.03492807748</c:v>
                </c:pt>
                <c:pt idx="407">
                  <c:v>101325.03446709763</c:v>
                </c:pt>
                <c:pt idx="408">
                  <c:v>101325.03400916989</c:v>
                </c:pt>
                <c:pt idx="409">
                  <c:v>101325.03355429431</c:v>
                </c:pt>
                <c:pt idx="410">
                  <c:v>101325.03310247097</c:v>
                </c:pt>
                <c:pt idx="411">
                  <c:v>101325.03265369995</c:v>
                </c:pt>
                <c:pt idx="412">
                  <c:v>101325.0322079813</c:v>
                </c:pt>
                <c:pt idx="413">
                  <c:v>101325.03176531511</c:v>
                </c:pt>
                <c:pt idx="414">
                  <c:v>101325.03132570145</c:v>
                </c:pt>
                <c:pt idx="415">
                  <c:v>101325.03088914038</c:v>
                </c:pt>
                <c:pt idx="416">
                  <c:v>101325.03045563199</c:v>
                </c:pt>
                <c:pt idx="417">
                  <c:v>101325.03002517634</c:v>
                </c:pt>
                <c:pt idx="418">
                  <c:v>101325.02959777352</c:v>
                </c:pt>
                <c:pt idx="419">
                  <c:v>101325.02917342361</c:v>
                </c:pt>
                <c:pt idx="420">
                  <c:v>101325.02875212667</c:v>
                </c:pt>
                <c:pt idx="421">
                  <c:v>101325.0283338828</c:v>
                </c:pt>
                <c:pt idx="422">
                  <c:v>101325.02791869207</c:v>
                </c:pt>
                <c:pt idx="423">
                  <c:v>101325.02750655456</c:v>
                </c:pt>
                <c:pt idx="424">
                  <c:v>101325.02709747036</c:v>
                </c:pt>
                <c:pt idx="425">
                  <c:v>101325.02669143956</c:v>
                </c:pt>
                <c:pt idx="426">
                  <c:v>101325.02628846225</c:v>
                </c:pt>
                <c:pt idx="427">
                  <c:v>101325.0258885385</c:v>
                </c:pt>
                <c:pt idx="428">
                  <c:v>101325.02549166841</c:v>
                </c:pt>
                <c:pt idx="429">
                  <c:v>101325.02509785206</c:v>
                </c:pt>
                <c:pt idx="430">
                  <c:v>101325.02470708956</c:v>
                </c:pt>
                <c:pt idx="431">
                  <c:v>101325.02431938099</c:v>
                </c:pt>
                <c:pt idx="432">
                  <c:v>101325.02393472644</c:v>
                </c:pt>
                <c:pt idx="433">
                  <c:v>101325.02355312603</c:v>
                </c:pt>
                <c:pt idx="434">
                  <c:v>101325.02317457984</c:v>
                </c:pt>
                <c:pt idx="435">
                  <c:v>101325.02279908796</c:v>
                </c:pt>
                <c:pt idx="436">
                  <c:v>101325.02242665052</c:v>
                </c:pt>
                <c:pt idx="437">
                  <c:v>101325.0220572676</c:v>
                </c:pt>
                <c:pt idx="438">
                  <c:v>101325.02169093932</c:v>
                </c:pt>
                <c:pt idx="439">
                  <c:v>101325.02132766576</c:v>
                </c:pt>
                <c:pt idx="440">
                  <c:v>101325.02096744705</c:v>
                </c:pt>
                <c:pt idx="441">
                  <c:v>101325.0206102833</c:v>
                </c:pt>
                <c:pt idx="442">
                  <c:v>101325.02025617461</c:v>
                </c:pt>
                <c:pt idx="443">
                  <c:v>101325.01990512111</c:v>
                </c:pt>
                <c:pt idx="444">
                  <c:v>101325.0195571229</c:v>
                </c:pt>
                <c:pt idx="445">
                  <c:v>101325.01921218009</c:v>
                </c:pt>
                <c:pt idx="446">
                  <c:v>101325.01887029283</c:v>
                </c:pt>
                <c:pt idx="447">
                  <c:v>101325.01853146122</c:v>
                </c:pt>
                <c:pt idx="448">
                  <c:v>101325.01819568538</c:v>
                </c:pt>
                <c:pt idx="449">
                  <c:v>101325.01786296545</c:v>
                </c:pt>
                <c:pt idx="450">
                  <c:v>101325.01753330156</c:v>
                </c:pt>
                <c:pt idx="451">
                  <c:v>101325.01748229425</c:v>
                </c:pt>
                <c:pt idx="452">
                  <c:v>101325.01745812206</c:v>
                </c:pt>
                <c:pt idx="453">
                  <c:v>101325.01746120524</c:v>
                </c:pt>
                <c:pt idx="454">
                  <c:v>101325.01749186809</c:v>
                </c:pt>
                <c:pt idx="455">
                  <c:v>101325.01755033855</c:v>
                </c:pt>
                <c:pt idx="456">
                  <c:v>101325.01763674809</c:v>
                </c:pt>
                <c:pt idx="457">
                  <c:v>101325.01775113183</c:v>
                </c:pt>
                <c:pt idx="458">
                  <c:v>101325.01789342909</c:v>
                </c:pt>
                <c:pt idx="459">
                  <c:v>101325.01806348421</c:v>
                </c:pt>
                <c:pt idx="460">
                  <c:v>101325.01826104759</c:v>
                </c:pt>
                <c:pt idx="461">
                  <c:v>101325.01848577707</c:v>
                </c:pt>
                <c:pt idx="462">
                  <c:v>101325.01873723946</c:v>
                </c:pt>
                <c:pt idx="463">
                  <c:v>101325.01901491242</c:v>
                </c:pt>
                <c:pt idx="464">
                  <c:v>101325.01931818652</c:v>
                </c:pt>
                <c:pt idx="465">
                  <c:v>101325.01964636741</c:v>
                </c:pt>
                <c:pt idx="466">
                  <c:v>101325.01999867836</c:v>
                </c:pt>
                <c:pt idx="467">
                  <c:v>101325.02037426287</c:v>
                </c:pt>
                <c:pt idx="468">
                  <c:v>101325.02077218758</c:v>
                </c:pt>
                <c:pt idx="469">
                  <c:v>101325.02119144525</c:v>
                </c:pt>
                <c:pt idx="470">
                  <c:v>101325.02163095804</c:v>
                </c:pt>
                <c:pt idx="471">
                  <c:v>101325.0220895809</c:v>
                </c:pt>
                <c:pt idx="472">
                  <c:v>101325.02256610521</c:v>
                </c:pt>
                <c:pt idx="473">
                  <c:v>101325.02305926243</c:v>
                </c:pt>
                <c:pt idx="474">
                  <c:v>101325.02356772817</c:v>
                </c:pt>
                <c:pt idx="475">
                  <c:v>101325.02409012624</c:v>
                </c:pt>
                <c:pt idx="476">
                  <c:v>101325.02462503294</c:v>
                </c:pt>
                <c:pt idx="477">
                  <c:v>101325.02517098143</c:v>
                </c:pt>
                <c:pt idx="478">
                  <c:v>101325.02572646637</c:v>
                </c:pt>
                <c:pt idx="479">
                  <c:v>101325.02628994857</c:v>
                </c:pt>
                <c:pt idx="480">
                  <c:v>101325.02685985982</c:v>
                </c:pt>
                <c:pt idx="481">
                  <c:v>101325.02743460788</c:v>
                </c:pt>
                <c:pt idx="482">
                  <c:v>101325.02801258149</c:v>
                </c:pt>
                <c:pt idx="483">
                  <c:v>101325.02859215545</c:v>
                </c:pt>
                <c:pt idx="484">
                  <c:v>101325.02917169587</c:v>
                </c:pt>
                <c:pt idx="485">
                  <c:v>101325.02974956548</c:v>
                </c:pt>
                <c:pt idx="486">
                  <c:v>101325.03032412882</c:v>
                </c:pt>
                <c:pt idx="487">
                  <c:v>101325.03089362483</c:v>
                </c:pt>
                <c:pt idx="488">
                  <c:v>101325.03145617576</c:v>
                </c:pt>
                <c:pt idx="489">
                  <c:v>101325.03200993124</c:v>
                </c:pt>
                <c:pt idx="490">
                  <c:v>101325.03255307862</c:v>
                </c:pt>
                <c:pt idx="491">
                  <c:v>101325.03308385305</c:v>
                </c:pt>
                <c:pt idx="492">
                  <c:v>101325.03360054735</c:v>
                </c:pt>
                <c:pt idx="493">
                  <c:v>101325.0341015216</c:v>
                </c:pt>
                <c:pt idx="494">
                  <c:v>101325.03458521242</c:v>
                </c:pt>
                <c:pt idx="495">
                  <c:v>101325.03505014173</c:v>
                </c:pt>
                <c:pt idx="496">
                  <c:v>101325.03549492524</c:v>
                </c:pt>
                <c:pt idx="497">
                  <c:v>101325.03591828028</c:v>
                </c:pt>
                <c:pt idx="498">
                  <c:v>101325.03631903318</c:v>
                </c:pt>
                <c:pt idx="499">
                  <c:v>101325.03669612607</c:v>
                </c:pt>
                <c:pt idx="500">
                  <c:v>101325.03704862291</c:v>
                </c:pt>
                <c:pt idx="501">
                  <c:v>101325.0373757151</c:v>
                </c:pt>
                <c:pt idx="502">
                  <c:v>101325.03767672613</c:v>
                </c:pt>
                <c:pt idx="503">
                  <c:v>101325.03795111575</c:v>
                </c:pt>
                <c:pt idx="504">
                  <c:v>101325.03819848316</c:v>
                </c:pt>
                <c:pt idx="505">
                  <c:v>101325.03841856956</c:v>
                </c:pt>
                <c:pt idx="506">
                  <c:v>101325.03861125991</c:v>
                </c:pt>
                <c:pt idx="507">
                  <c:v>101325.03877658382</c:v>
                </c:pt>
                <c:pt idx="508">
                  <c:v>101325.03891471568</c:v>
                </c:pt>
                <c:pt idx="509">
                  <c:v>101325.03902597394</c:v>
                </c:pt>
                <c:pt idx="510">
                  <c:v>101325.03911081958</c:v>
                </c:pt>
                <c:pt idx="511">
                  <c:v>101325.03916985384</c:v>
                </c:pt>
                <c:pt idx="512">
                  <c:v>101325.03920381505</c:v>
                </c:pt>
                <c:pt idx="513">
                  <c:v>101325.03921357474</c:v>
                </c:pt>
                <c:pt idx="514">
                  <c:v>101325.03920013293</c:v>
                </c:pt>
                <c:pt idx="515">
                  <c:v>101325.03916461284</c:v>
                </c:pt>
                <c:pt idx="516">
                  <c:v>101325.03910825464</c:v>
                </c:pt>
                <c:pt idx="517">
                  <c:v>101325.03903240876</c:v>
                </c:pt>
                <c:pt idx="518">
                  <c:v>101325.03893852842</c:v>
                </c:pt>
                <c:pt idx="519">
                  <c:v>101325.0388281616</c:v>
                </c:pt>
                <c:pt idx="520">
                  <c:v>101325.0387029425</c:v>
                </c:pt>
                <c:pt idx="521">
                  <c:v>101325.03856458243</c:v>
                </c:pt>
                <c:pt idx="522">
                  <c:v>101325.0384148603</c:v>
                </c:pt>
                <c:pt idx="523">
                  <c:v>101325.03825561266</c:v>
                </c:pt>
                <c:pt idx="524">
                  <c:v>101325.03808872344</c:v>
                </c:pt>
                <c:pt idx="525">
                  <c:v>101325.03791611338</c:v>
                </c:pt>
                <c:pt idx="526">
                  <c:v>101325.03773972931</c:v>
                </c:pt>
                <c:pt idx="527">
                  <c:v>101325.03756153316</c:v>
                </c:pt>
                <c:pt idx="528">
                  <c:v>101325.03738349094</c:v>
                </c:pt>
                <c:pt idx="529">
                  <c:v>101325.03720717518</c:v>
                </c:pt>
                <c:pt idx="530">
                  <c:v>101325.03703375981</c:v>
                </c:pt>
                <c:pt idx="531">
                  <c:v>101325.03686440522</c:v>
                </c:pt>
                <c:pt idx="532">
                  <c:v>101325.03670025422</c:v>
                </c:pt>
                <c:pt idx="533">
                  <c:v>101325.03654242816</c:v>
                </c:pt>
                <c:pt idx="534">
                  <c:v>101325.03639202315</c:v>
                </c:pt>
                <c:pt idx="535">
                  <c:v>101325.03625010625</c:v>
                </c:pt>
                <c:pt idx="536">
                  <c:v>101325.03611771195</c:v>
                </c:pt>
                <c:pt idx="537">
                  <c:v>101325.03599583855</c:v>
                </c:pt>
                <c:pt idx="538">
                  <c:v>101325.03588544487</c:v>
                </c:pt>
                <c:pt idx="539">
                  <c:v>101325.03578744696</c:v>
                </c:pt>
                <c:pt idx="540">
                  <c:v>101325.03570271505</c:v>
                </c:pt>
                <c:pt idx="541">
                  <c:v>101325.03563207062</c:v>
                </c:pt>
                <c:pt idx="542">
                  <c:v>101325.03557628373</c:v>
                </c:pt>
                <c:pt idx="543">
                  <c:v>101325.03553607037</c:v>
                </c:pt>
                <c:pt idx="544">
                  <c:v>101325.03551209018</c:v>
                </c:pt>
                <c:pt idx="545">
                  <c:v>101325.03550494427</c:v>
                </c:pt>
                <c:pt idx="546">
                  <c:v>101325.03551517327</c:v>
                </c:pt>
                <c:pt idx="547">
                  <c:v>101325.03554325561</c:v>
                </c:pt>
                <c:pt idx="548">
                  <c:v>101325.03558960601</c:v>
                </c:pt>
                <c:pt idx="549">
                  <c:v>101325.03565457417</c:v>
                </c:pt>
                <c:pt idx="550">
                  <c:v>101325.03573844371</c:v>
                </c:pt>
                <c:pt idx="551">
                  <c:v>101325.03584143137</c:v>
                </c:pt>
                <c:pt idx="552">
                  <c:v>101325.03596368634</c:v>
                </c:pt>
                <c:pt idx="553">
                  <c:v>101325.03610528991</c:v>
                </c:pt>
                <c:pt idx="554">
                  <c:v>101325.03626625534</c:v>
                </c:pt>
                <c:pt idx="555">
                  <c:v>101325.03644652787</c:v>
                </c:pt>
                <c:pt idx="556">
                  <c:v>101325.03664598508</c:v>
                </c:pt>
                <c:pt idx="557">
                  <c:v>101325.03686443735</c:v>
                </c:pt>
                <c:pt idx="558">
                  <c:v>101325.0371016287</c:v>
                </c:pt>
                <c:pt idx="559">
                  <c:v>101325.03735723763</c:v>
                </c:pt>
                <c:pt idx="560">
                  <c:v>101325.03763087833</c:v>
                </c:pt>
                <c:pt idx="561">
                  <c:v>101325.03792210208</c:v>
                </c:pt>
                <c:pt idx="562">
                  <c:v>101325.0382303988</c:v>
                </c:pt>
                <c:pt idx="563">
                  <c:v>101325.03855519879</c:v>
                </c:pt>
                <c:pt idx="564">
                  <c:v>101325.03889587469</c:v>
                </c:pt>
                <c:pt idx="565">
                  <c:v>101325.03925174368</c:v>
                </c:pt>
                <c:pt idx="566">
                  <c:v>101325.03962206974</c:v>
                </c:pt>
                <c:pt idx="567">
                  <c:v>101325.0400060661</c:v>
                </c:pt>
                <c:pt idx="568">
                  <c:v>101325.04040289795</c:v>
                </c:pt>
                <c:pt idx="569">
                  <c:v>101325.04081168519</c:v>
                </c:pt>
                <c:pt idx="570">
                  <c:v>101325.04123150537</c:v>
                </c:pt>
                <c:pt idx="571">
                  <c:v>101325.04166139674</c:v>
                </c:pt>
                <c:pt idx="572">
                  <c:v>101325.04210036149</c:v>
                </c:pt>
                <c:pt idx="573">
                  <c:v>101325.04254736901</c:v>
                </c:pt>
                <c:pt idx="574">
                  <c:v>101325.04300135934</c:v>
                </c:pt>
                <c:pt idx="575">
                  <c:v>101325.04346124669</c:v>
                </c:pt>
                <c:pt idx="576">
                  <c:v>101325.04392592299</c:v>
                </c:pt>
                <c:pt idx="577">
                  <c:v>101325.04439426157</c:v>
                </c:pt>
                <c:pt idx="578">
                  <c:v>101325.04486512093</c:v>
                </c:pt>
                <c:pt idx="579">
                  <c:v>101325.04533734849</c:v>
                </c:pt>
                <c:pt idx="580">
                  <c:v>101325.04580978441</c:v>
                </c:pt>
                <c:pt idx="581">
                  <c:v>101325.04628126544</c:v>
                </c:pt>
                <c:pt idx="582">
                  <c:v>101325.04675062883</c:v>
                </c:pt>
                <c:pt idx="583">
                  <c:v>101325.04721591016</c:v>
                </c:pt>
                <c:pt idx="584">
                  <c:v>101325.04767435767</c:v>
                </c:pt>
                <c:pt idx="585">
                  <c:v>101325.04812325799</c:v>
                </c:pt>
                <c:pt idx="586">
                  <c:v>101325.04855995114</c:v>
                </c:pt>
                <c:pt idx="587">
                  <c:v>101325.04898184525</c:v>
                </c:pt>
                <c:pt idx="588">
                  <c:v>101325.04938643084</c:v>
                </c:pt>
                <c:pt idx="589">
                  <c:v>101325.0497712948</c:v>
                </c:pt>
                <c:pt idx="590">
                  <c:v>101325.05013413374</c:v>
                </c:pt>
                <c:pt idx="591">
                  <c:v>101325.05047276689</c:v>
                </c:pt>
                <c:pt idx="592">
                  <c:v>101325.05078514815</c:v>
                </c:pt>
                <c:pt idx="593">
                  <c:v>101325.05106937767</c:v>
                </c:pt>
                <c:pt idx="594">
                  <c:v>101325.05132371241</c:v>
                </c:pt>
                <c:pt idx="595">
                  <c:v>101325.051546576</c:v>
                </c:pt>
                <c:pt idx="596">
                  <c:v>101325.05173656764</c:v>
                </c:pt>
                <c:pt idx="597">
                  <c:v>101325.05189247004</c:v>
                </c:pt>
                <c:pt idx="598">
                  <c:v>101325.05201325641</c:v>
                </c:pt>
                <c:pt idx="599">
                  <c:v>101325.0520980963</c:v>
                </c:pt>
                <c:pt idx="600">
                  <c:v>101325.05214636048</c:v>
                </c:pt>
                <c:pt idx="601">
                  <c:v>101325.05215762461</c:v>
                </c:pt>
                <c:pt idx="602">
                  <c:v>101325.05213167182</c:v>
                </c:pt>
                <c:pt idx="603">
                  <c:v>101325.05206849414</c:v>
                </c:pt>
                <c:pt idx="604">
                  <c:v>101325.05196829278</c:v>
                </c:pt>
                <c:pt idx="605">
                  <c:v>101325.05183147716</c:v>
                </c:pt>
                <c:pt idx="606">
                  <c:v>101325.05165866285</c:v>
                </c:pt>
                <c:pt idx="607">
                  <c:v>101325.05145066837</c:v>
                </c:pt>
                <c:pt idx="608">
                  <c:v>101325.0512085107</c:v>
                </c:pt>
                <c:pt idx="609">
                  <c:v>101325.05093339989</c:v>
                </c:pt>
                <c:pt idx="610">
                  <c:v>101325.05062673231</c:v>
                </c:pt>
                <c:pt idx="611">
                  <c:v>101325.05007174308</c:v>
                </c:pt>
                <c:pt idx="612">
                  <c:v>101325.04951980425</c:v>
                </c:pt>
                <c:pt idx="613">
                  <c:v>101325.04897091584</c:v>
                </c:pt>
                <c:pt idx="614">
                  <c:v>101325.04842507791</c:v>
                </c:pt>
                <c:pt idx="615">
                  <c:v>101325.0478822905</c:v>
                </c:pt>
                <c:pt idx="616">
                  <c:v>101325.04734255366</c:v>
                </c:pt>
                <c:pt idx="617">
                  <c:v>101325.04680586745</c:v>
                </c:pt>
                <c:pt idx="618">
                  <c:v>101325.04627223189</c:v>
                </c:pt>
                <c:pt idx="619">
                  <c:v>101325.04574164706</c:v>
                </c:pt>
                <c:pt idx="620">
                  <c:v>101325.04521411301</c:v>
                </c:pt>
                <c:pt idx="621">
                  <c:v>101325.04468962978</c:v>
                </c:pt>
                <c:pt idx="622">
                  <c:v>101325.04416819742</c:v>
                </c:pt>
                <c:pt idx="623">
                  <c:v>101325.04364981598</c:v>
                </c:pt>
                <c:pt idx="624">
                  <c:v>101325.04313448553</c:v>
                </c:pt>
                <c:pt idx="625">
                  <c:v>101325.04262220611</c:v>
                </c:pt>
                <c:pt idx="626">
                  <c:v>101325.04211297777</c:v>
                </c:pt>
                <c:pt idx="627">
                  <c:v>101325.04160680057</c:v>
                </c:pt>
                <c:pt idx="628">
                  <c:v>101325.04110367456</c:v>
                </c:pt>
                <c:pt idx="629">
                  <c:v>101325.04060359982</c:v>
                </c:pt>
                <c:pt idx="630">
                  <c:v>101325.04010657637</c:v>
                </c:pt>
                <c:pt idx="631">
                  <c:v>101325.03961260429</c:v>
                </c:pt>
                <c:pt idx="632">
                  <c:v>101325.03912168364</c:v>
                </c:pt>
                <c:pt idx="633">
                  <c:v>101325.03863381447</c:v>
                </c:pt>
                <c:pt idx="634">
                  <c:v>101325.03814899686</c:v>
                </c:pt>
                <c:pt idx="635">
                  <c:v>101325.03766723083</c:v>
                </c:pt>
                <c:pt idx="636">
                  <c:v>101325.03718851648</c:v>
                </c:pt>
                <c:pt idx="637">
                  <c:v>101325.03671285385</c:v>
                </c:pt>
                <c:pt idx="638">
                  <c:v>101325.03624024302</c:v>
                </c:pt>
                <c:pt idx="639">
                  <c:v>101325.03577068403</c:v>
                </c:pt>
                <c:pt idx="640">
                  <c:v>101325.03530417697</c:v>
                </c:pt>
                <c:pt idx="641">
                  <c:v>101325.03484072188</c:v>
                </c:pt>
                <c:pt idx="642">
                  <c:v>101325.03438031886</c:v>
                </c:pt>
                <c:pt idx="643">
                  <c:v>101325.03392296794</c:v>
                </c:pt>
                <c:pt idx="644">
                  <c:v>101325.03346866921</c:v>
                </c:pt>
                <c:pt idx="645">
                  <c:v>101325.03301742273</c:v>
                </c:pt>
                <c:pt idx="646">
                  <c:v>101325.03256922857</c:v>
                </c:pt>
                <c:pt idx="647">
                  <c:v>101325.03212408681</c:v>
                </c:pt>
                <c:pt idx="648">
                  <c:v>101325.03168199751</c:v>
                </c:pt>
                <c:pt idx="649">
                  <c:v>101325.03124296076</c:v>
                </c:pt>
                <c:pt idx="650">
                  <c:v>101325.03080697662</c:v>
                </c:pt>
                <c:pt idx="651">
                  <c:v>101325.03037404516</c:v>
                </c:pt>
                <c:pt idx="652">
                  <c:v>101325.02994416647</c:v>
                </c:pt>
                <c:pt idx="653">
                  <c:v>101325.02951734062</c:v>
                </c:pt>
                <c:pt idx="654">
                  <c:v>101325.02909356769</c:v>
                </c:pt>
                <c:pt idx="655">
                  <c:v>101325.02867284775</c:v>
                </c:pt>
                <c:pt idx="656">
                  <c:v>101325.02825518089</c:v>
                </c:pt>
                <c:pt idx="657">
                  <c:v>101325.02784056719</c:v>
                </c:pt>
                <c:pt idx="658">
                  <c:v>101325.02742900673</c:v>
                </c:pt>
                <c:pt idx="659">
                  <c:v>101325.0270204996</c:v>
                </c:pt>
                <c:pt idx="660">
                  <c:v>101325.02661504588</c:v>
                </c:pt>
                <c:pt idx="661">
                  <c:v>101325.02621264565</c:v>
                </c:pt>
                <c:pt idx="662">
                  <c:v>101325.02581329901</c:v>
                </c:pt>
                <c:pt idx="663">
                  <c:v>101325.02541700605</c:v>
                </c:pt>
                <c:pt idx="664">
                  <c:v>101325.02502376685</c:v>
                </c:pt>
                <c:pt idx="665">
                  <c:v>101325.02463358152</c:v>
                </c:pt>
                <c:pt idx="666">
                  <c:v>101325.02424645014</c:v>
                </c:pt>
                <c:pt idx="667">
                  <c:v>101325.02386237279</c:v>
                </c:pt>
                <c:pt idx="668">
                  <c:v>101325.02348134959</c:v>
                </c:pt>
                <c:pt idx="669">
                  <c:v>101325.02310338063</c:v>
                </c:pt>
                <c:pt idx="670">
                  <c:v>101325.02272846602</c:v>
                </c:pt>
                <c:pt idx="671">
                  <c:v>101325.02235660586</c:v>
                </c:pt>
                <c:pt idx="672">
                  <c:v>101325.02198780022</c:v>
                </c:pt>
                <c:pt idx="673">
                  <c:v>101325.02162204924</c:v>
                </c:pt>
                <c:pt idx="674">
                  <c:v>101325.02125935303</c:v>
                </c:pt>
                <c:pt idx="675">
                  <c:v>101325.02089971167</c:v>
                </c:pt>
                <c:pt idx="676">
                  <c:v>101325.0205431253</c:v>
                </c:pt>
                <c:pt idx="677">
                  <c:v>101325.02018959401</c:v>
                </c:pt>
                <c:pt idx="678">
                  <c:v>101325.01983911791</c:v>
                </c:pt>
                <c:pt idx="679">
                  <c:v>101325.01949169714</c:v>
                </c:pt>
                <c:pt idx="680">
                  <c:v>101325.0191473318</c:v>
                </c:pt>
                <c:pt idx="681">
                  <c:v>101325.01880602201</c:v>
                </c:pt>
                <c:pt idx="682">
                  <c:v>101325.01846776791</c:v>
                </c:pt>
                <c:pt idx="683">
                  <c:v>101325.0181325696</c:v>
                </c:pt>
                <c:pt idx="684">
                  <c:v>101325.01780042723</c:v>
                </c:pt>
                <c:pt idx="685">
                  <c:v>101325.01747134092</c:v>
                </c:pt>
                <c:pt idx="686">
                  <c:v>101325.01714531081</c:v>
                </c:pt>
                <c:pt idx="687">
                  <c:v>101325.01682233701</c:v>
                </c:pt>
                <c:pt idx="688">
                  <c:v>101325.01650241968</c:v>
                </c:pt>
                <c:pt idx="689">
                  <c:v>101325.01618555895</c:v>
                </c:pt>
                <c:pt idx="690">
                  <c:v>101325.01587175496</c:v>
                </c:pt>
                <c:pt idx="691">
                  <c:v>101325.01556100787</c:v>
                </c:pt>
                <c:pt idx="692">
                  <c:v>101325.0152533178</c:v>
                </c:pt>
                <c:pt idx="693">
                  <c:v>101325.01494868494</c:v>
                </c:pt>
                <c:pt idx="694">
                  <c:v>101325.01464710942</c:v>
                </c:pt>
                <c:pt idx="695">
                  <c:v>101325.01434859139</c:v>
                </c:pt>
                <c:pt idx="696">
                  <c:v>101325.01405313102</c:v>
                </c:pt>
                <c:pt idx="697">
                  <c:v>101325.01376072847</c:v>
                </c:pt>
                <c:pt idx="698">
                  <c:v>101325.01347138392</c:v>
                </c:pt>
                <c:pt idx="699">
                  <c:v>101325.01318509753</c:v>
                </c:pt>
                <c:pt idx="700">
                  <c:v>101325.01290186947</c:v>
                </c:pt>
                <c:pt idx="701">
                  <c:v>101325.01262169992</c:v>
                </c:pt>
                <c:pt idx="702">
                  <c:v>101325.01234458906</c:v>
                </c:pt>
                <c:pt idx="703">
                  <c:v>101325.01207053709</c:v>
                </c:pt>
                <c:pt idx="704">
                  <c:v>101325.0117995442</c:v>
                </c:pt>
                <c:pt idx="705">
                  <c:v>101325.01153161058</c:v>
                </c:pt>
                <c:pt idx="706">
                  <c:v>101325.01126673643</c:v>
                </c:pt>
                <c:pt idx="707">
                  <c:v>101325.01100492195</c:v>
                </c:pt>
                <c:pt idx="708">
                  <c:v>101325.01074616735</c:v>
                </c:pt>
                <c:pt idx="709">
                  <c:v>101325.01049047284</c:v>
                </c:pt>
                <c:pt idx="710">
                  <c:v>101325.01023783864</c:v>
                </c:pt>
                <c:pt idx="711">
                  <c:v>101325.00998826498</c:v>
                </c:pt>
                <c:pt idx="712">
                  <c:v>101325.00974175209</c:v>
                </c:pt>
                <c:pt idx="713">
                  <c:v>101325.00949830021</c:v>
                </c:pt>
                <c:pt idx="714">
                  <c:v>101325.00925790957</c:v>
                </c:pt>
                <c:pt idx="715">
                  <c:v>101325.00902058043</c:v>
                </c:pt>
                <c:pt idx="716">
                  <c:v>101325.00878631303</c:v>
                </c:pt>
                <c:pt idx="717">
                  <c:v>101325.00855510765</c:v>
                </c:pt>
                <c:pt idx="718">
                  <c:v>101325.00832696454</c:v>
                </c:pt>
                <c:pt idx="719">
                  <c:v>101325.008101884</c:v>
                </c:pt>
                <c:pt idx="720">
                  <c:v>101325.00787986629</c:v>
                </c:pt>
                <c:pt idx="721">
                  <c:v>101325.00766091171</c:v>
                </c:pt>
                <c:pt idx="722">
                  <c:v>101325.00744502056</c:v>
                </c:pt>
                <c:pt idx="723">
                  <c:v>101325.00723219315</c:v>
                </c:pt>
                <c:pt idx="724">
                  <c:v>101325.0070224298</c:v>
                </c:pt>
                <c:pt idx="725">
                  <c:v>101325.00681573083</c:v>
                </c:pt>
                <c:pt idx="726">
                  <c:v>101325.00661209658</c:v>
                </c:pt>
                <c:pt idx="727">
                  <c:v>101325.0064115274</c:v>
                </c:pt>
                <c:pt idx="728">
                  <c:v>101325.00621402364</c:v>
                </c:pt>
                <c:pt idx="729">
                  <c:v>101325.00601958568</c:v>
                </c:pt>
                <c:pt idx="730">
                  <c:v>101325.00582821389</c:v>
                </c:pt>
                <c:pt idx="731">
                  <c:v>101325.00563990868</c:v>
                </c:pt>
                <c:pt idx="732">
                  <c:v>101325.00545467043</c:v>
                </c:pt>
                <c:pt idx="733">
                  <c:v>101325.00527249959</c:v>
                </c:pt>
                <c:pt idx="734">
                  <c:v>101325.00509339658</c:v>
                </c:pt>
                <c:pt idx="735">
                  <c:v>101325.00491736186</c:v>
                </c:pt>
                <c:pt idx="736">
                  <c:v>101325.00474439588</c:v>
                </c:pt>
                <c:pt idx="737">
                  <c:v>101325.00457449912</c:v>
                </c:pt>
                <c:pt idx="738">
                  <c:v>101325.00440767211</c:v>
                </c:pt>
                <c:pt idx="739">
                  <c:v>101325.00424391535</c:v>
                </c:pt>
                <c:pt idx="740">
                  <c:v>101325.00408322937</c:v>
                </c:pt>
                <c:pt idx="741">
                  <c:v>101325.00392561476</c:v>
                </c:pt>
                <c:pt idx="742">
                  <c:v>101325.00377107208</c:v>
                </c:pt>
                <c:pt idx="743">
                  <c:v>101325.00361960194</c:v>
                </c:pt>
                <c:pt idx="744">
                  <c:v>101325.00347120497</c:v>
                </c:pt>
                <c:pt idx="745">
                  <c:v>101325.00332588184</c:v>
                </c:pt>
                <c:pt idx="746">
                  <c:v>101325.00318363323</c:v>
                </c:pt>
                <c:pt idx="747">
                  <c:v>101325.00304445987</c:v>
                </c:pt>
                <c:pt idx="748">
                  <c:v>101325.0029083625</c:v>
                </c:pt>
                <c:pt idx="749">
                  <c:v>101325.00277534191</c:v>
                </c:pt>
                <c:pt idx="750">
                  <c:v>101325.00264539893</c:v>
                </c:pt>
                <c:pt idx="751">
                  <c:v>101325.0025185344</c:v>
                </c:pt>
                <c:pt idx="752">
                  <c:v>101325.00239474924</c:v>
                </c:pt>
                <c:pt idx="753">
                  <c:v>101325.00227404443</c:v>
                </c:pt>
                <c:pt idx="754">
                  <c:v>101325.00215642093</c:v>
                </c:pt>
                <c:pt idx="755">
                  <c:v>101325.00204187982</c:v>
                </c:pt>
                <c:pt idx="756">
                  <c:v>101325.00193042222</c:v>
                </c:pt>
                <c:pt idx="757">
                  <c:v>101325.00182204931</c:v>
                </c:pt>
                <c:pt idx="758">
                  <c:v>101325.00171676233</c:v>
                </c:pt>
                <c:pt idx="759">
                  <c:v>101325.00161456261</c:v>
                </c:pt>
                <c:pt idx="760">
                  <c:v>101325.00151545157</c:v>
                </c:pt>
                <c:pt idx="761">
                  <c:v>101325.0014194307</c:v>
                </c:pt>
                <c:pt idx="762">
                  <c:v>101325.0013265016</c:v>
                </c:pt>
                <c:pt idx="763">
                  <c:v>101325.00123666599</c:v>
                </c:pt>
                <c:pt idx="764">
                  <c:v>101325.00114992571</c:v>
                </c:pt>
                <c:pt idx="765">
                  <c:v>101325.00106628273</c:v>
                </c:pt>
                <c:pt idx="766">
                  <c:v>101325.00098573917</c:v>
                </c:pt>
                <c:pt idx="767">
                  <c:v>101325.00090829734</c:v>
                </c:pt>
                <c:pt idx="768">
                  <c:v>101325.00083395973</c:v>
                </c:pt>
                <c:pt idx="769">
                  <c:v>101325.00076272903</c:v>
                </c:pt>
                <c:pt idx="770">
                  <c:v>101325.00069460823</c:v>
                </c:pt>
                <c:pt idx="771">
                  <c:v>101325.00062960056</c:v>
                </c:pt>
                <c:pt idx="772">
                  <c:v>101325.00056770961</c:v>
                </c:pt>
                <c:pt idx="773">
                  <c:v>101325.00050893932</c:v>
                </c:pt>
                <c:pt idx="774">
                  <c:v>101325.00045329414</c:v>
                </c:pt>
                <c:pt idx="775">
                  <c:v>101325.00040077898</c:v>
                </c:pt>
                <c:pt idx="776">
                  <c:v>101325.00035139945</c:v>
                </c:pt>
                <c:pt idx="777">
                  <c:v>101325.00030516186</c:v>
                </c:pt>
                <c:pt idx="778">
                  <c:v>101325.00026207352</c:v>
                </c:pt>
                <c:pt idx="779">
                  <c:v>101325.00022214289</c:v>
                </c:pt>
                <c:pt idx="780">
                  <c:v>101325.0001853799</c:v>
                </c:pt>
                <c:pt idx="781">
                  <c:v>101325.00015179641</c:v>
                </c:pt>
                <c:pt idx="782">
                  <c:v>101325.00012140679</c:v>
                </c:pt>
                <c:pt idx="783">
                  <c:v>101325.00009422888</c:v>
                </c:pt>
                <c:pt idx="784">
                  <c:v>101325.00007028543</c:v>
                </c:pt>
                <c:pt idx="785">
                  <c:v>101325.00004960653</c:v>
                </c:pt>
                <c:pt idx="786">
                  <c:v>101325.00003223396</c:v>
                </c:pt>
                <c:pt idx="787">
                  <c:v>101325.00001822998</c:v>
                </c:pt>
                <c:pt idx="788">
                  <c:v>101325.00000769855</c:v>
                </c:pt>
                <c:pt idx="789">
                  <c:v>101325.00000085472</c:v>
                </c:pt>
                <c:pt idx="790">
                  <c:v>101324.99999857435</c:v>
                </c:pt>
                <c:pt idx="791">
                  <c:v>101324.99999857435</c:v>
                </c:pt>
                <c:pt idx="792">
                  <c:v>101324.99999857435</c:v>
                </c:pt>
                <c:pt idx="793">
                  <c:v>101324.99999857435</c:v>
                </c:pt>
                <c:pt idx="794">
                  <c:v>101324.99999857435</c:v>
                </c:pt>
                <c:pt idx="795">
                  <c:v>101324.99999857435</c:v>
                </c:pt>
                <c:pt idx="796">
                  <c:v>101324.99999857435</c:v>
                </c:pt>
                <c:pt idx="797">
                  <c:v>101324.99999857435</c:v>
                </c:pt>
                <c:pt idx="798">
                  <c:v>101324.99999857435</c:v>
                </c:pt>
                <c:pt idx="799">
                  <c:v>101324.99999857435</c:v>
                </c:pt>
                <c:pt idx="800">
                  <c:v>101324.99999857435</c:v>
                </c:pt>
                <c:pt idx="801">
                  <c:v>101324.99999857435</c:v>
                </c:pt>
                <c:pt idx="802">
                  <c:v>101324.99999857435</c:v>
                </c:pt>
                <c:pt idx="803">
                  <c:v>101324.99999857435</c:v>
                </c:pt>
                <c:pt idx="804">
                  <c:v>101324.99999857435</c:v>
                </c:pt>
                <c:pt idx="805">
                  <c:v>101324.99999857435</c:v>
                </c:pt>
                <c:pt idx="806">
                  <c:v>101324.99999857435</c:v>
                </c:pt>
                <c:pt idx="807">
                  <c:v>101324.99999857435</c:v>
                </c:pt>
                <c:pt idx="808">
                  <c:v>101324.99999857435</c:v>
                </c:pt>
                <c:pt idx="809">
                  <c:v>101324.99999857435</c:v>
                </c:pt>
                <c:pt idx="810">
                  <c:v>101324.99999857435</c:v>
                </c:pt>
                <c:pt idx="811">
                  <c:v>101324.99999857435</c:v>
                </c:pt>
                <c:pt idx="812">
                  <c:v>101324.99999857435</c:v>
                </c:pt>
                <c:pt idx="813">
                  <c:v>101324.99999857435</c:v>
                </c:pt>
                <c:pt idx="814">
                  <c:v>101324.99999857435</c:v>
                </c:pt>
                <c:pt idx="815">
                  <c:v>101324.99999857435</c:v>
                </c:pt>
                <c:pt idx="816">
                  <c:v>101324.99999857435</c:v>
                </c:pt>
                <c:pt idx="817">
                  <c:v>101324.99999857435</c:v>
                </c:pt>
                <c:pt idx="818">
                  <c:v>101324.99999857435</c:v>
                </c:pt>
                <c:pt idx="819">
                  <c:v>101324.99999857435</c:v>
                </c:pt>
                <c:pt idx="820">
                  <c:v>101324.99999857435</c:v>
                </c:pt>
                <c:pt idx="821">
                  <c:v>101324.99999857435</c:v>
                </c:pt>
                <c:pt idx="822">
                  <c:v>101324.99999857435</c:v>
                </c:pt>
                <c:pt idx="823">
                  <c:v>101324.99999857435</c:v>
                </c:pt>
                <c:pt idx="824">
                  <c:v>101324.99999857435</c:v>
                </c:pt>
                <c:pt idx="825">
                  <c:v>101324.99999857435</c:v>
                </c:pt>
                <c:pt idx="826">
                  <c:v>101324.99999857435</c:v>
                </c:pt>
                <c:pt idx="827">
                  <c:v>101324.99999857435</c:v>
                </c:pt>
                <c:pt idx="828">
                  <c:v>101324.99999857435</c:v>
                </c:pt>
                <c:pt idx="829">
                  <c:v>101324.99999857435</c:v>
                </c:pt>
                <c:pt idx="830">
                  <c:v>101324.99999857435</c:v>
                </c:pt>
                <c:pt idx="831">
                  <c:v>101324.99999857435</c:v>
                </c:pt>
                <c:pt idx="832">
                  <c:v>101324.99999857435</c:v>
                </c:pt>
                <c:pt idx="833">
                  <c:v>101324.99999857435</c:v>
                </c:pt>
                <c:pt idx="834">
                  <c:v>101324.99999857435</c:v>
                </c:pt>
                <c:pt idx="835">
                  <c:v>101324.99999857435</c:v>
                </c:pt>
                <c:pt idx="836">
                  <c:v>101324.99999857435</c:v>
                </c:pt>
                <c:pt idx="837">
                  <c:v>101324.99999857435</c:v>
                </c:pt>
                <c:pt idx="838">
                  <c:v>101324.99999857435</c:v>
                </c:pt>
                <c:pt idx="839">
                  <c:v>101324.99999857435</c:v>
                </c:pt>
                <c:pt idx="840">
                  <c:v>101324.99999857435</c:v>
                </c:pt>
                <c:pt idx="841">
                  <c:v>101324.99999857435</c:v>
                </c:pt>
                <c:pt idx="842">
                  <c:v>101324.99999857435</c:v>
                </c:pt>
                <c:pt idx="843">
                  <c:v>101324.99999857435</c:v>
                </c:pt>
                <c:pt idx="844">
                  <c:v>101324.99999857435</c:v>
                </c:pt>
                <c:pt idx="845">
                  <c:v>101324.99999857435</c:v>
                </c:pt>
                <c:pt idx="846">
                  <c:v>101324.99999857435</c:v>
                </c:pt>
                <c:pt idx="847">
                  <c:v>101324.99999857435</c:v>
                </c:pt>
                <c:pt idx="848">
                  <c:v>101324.99999857435</c:v>
                </c:pt>
                <c:pt idx="849">
                  <c:v>101324.99999857435</c:v>
                </c:pt>
                <c:pt idx="850">
                  <c:v>101324.99999857435</c:v>
                </c:pt>
                <c:pt idx="851">
                  <c:v>101324.99999857435</c:v>
                </c:pt>
                <c:pt idx="852">
                  <c:v>101324.99999857435</c:v>
                </c:pt>
                <c:pt idx="853">
                  <c:v>101324.99999857435</c:v>
                </c:pt>
                <c:pt idx="854">
                  <c:v>101324.99999857435</c:v>
                </c:pt>
                <c:pt idx="855">
                  <c:v>101324.99999857435</c:v>
                </c:pt>
                <c:pt idx="856">
                  <c:v>101324.99999857435</c:v>
                </c:pt>
                <c:pt idx="857">
                  <c:v>101324.99999857435</c:v>
                </c:pt>
                <c:pt idx="858">
                  <c:v>101324.99999857435</c:v>
                </c:pt>
                <c:pt idx="859">
                  <c:v>101324.99999857435</c:v>
                </c:pt>
                <c:pt idx="860">
                  <c:v>101324.99999857435</c:v>
                </c:pt>
                <c:pt idx="861">
                  <c:v>101324.99999857435</c:v>
                </c:pt>
                <c:pt idx="862">
                  <c:v>101324.99999857435</c:v>
                </c:pt>
                <c:pt idx="863">
                  <c:v>101324.99999857435</c:v>
                </c:pt>
                <c:pt idx="864">
                  <c:v>101324.99999857435</c:v>
                </c:pt>
                <c:pt idx="865">
                  <c:v>101324.99999857435</c:v>
                </c:pt>
                <c:pt idx="866">
                  <c:v>101324.99999857435</c:v>
                </c:pt>
                <c:pt idx="867">
                  <c:v>101324.99999857435</c:v>
                </c:pt>
                <c:pt idx="868">
                  <c:v>101324.99999857435</c:v>
                </c:pt>
                <c:pt idx="869">
                  <c:v>101324.99999857435</c:v>
                </c:pt>
                <c:pt idx="870">
                  <c:v>101324.99999857435</c:v>
                </c:pt>
                <c:pt idx="871">
                  <c:v>101324.99999857435</c:v>
                </c:pt>
                <c:pt idx="872">
                  <c:v>101324.99999857435</c:v>
                </c:pt>
                <c:pt idx="873">
                  <c:v>101324.99999857435</c:v>
                </c:pt>
                <c:pt idx="874">
                  <c:v>101324.99999857435</c:v>
                </c:pt>
                <c:pt idx="875">
                  <c:v>101324.99999857435</c:v>
                </c:pt>
                <c:pt idx="876">
                  <c:v>101324.99999857435</c:v>
                </c:pt>
                <c:pt idx="877">
                  <c:v>101324.99999857435</c:v>
                </c:pt>
                <c:pt idx="878">
                  <c:v>101324.99999857435</c:v>
                </c:pt>
                <c:pt idx="879">
                  <c:v>101324.99999857435</c:v>
                </c:pt>
                <c:pt idx="880">
                  <c:v>101324.99999857435</c:v>
                </c:pt>
                <c:pt idx="881">
                  <c:v>101324.99999857435</c:v>
                </c:pt>
                <c:pt idx="882">
                  <c:v>101324.99999857435</c:v>
                </c:pt>
                <c:pt idx="883">
                  <c:v>101324.99999857435</c:v>
                </c:pt>
                <c:pt idx="884">
                  <c:v>101324.99999857435</c:v>
                </c:pt>
                <c:pt idx="885">
                  <c:v>101324.99999857435</c:v>
                </c:pt>
                <c:pt idx="886">
                  <c:v>101324.99999857435</c:v>
                </c:pt>
                <c:pt idx="887">
                  <c:v>101324.99999857435</c:v>
                </c:pt>
                <c:pt idx="888">
                  <c:v>101324.99999857435</c:v>
                </c:pt>
                <c:pt idx="889">
                  <c:v>101324.99999857435</c:v>
                </c:pt>
                <c:pt idx="890">
                  <c:v>101324.99999857435</c:v>
                </c:pt>
                <c:pt idx="891">
                  <c:v>101324.99999857435</c:v>
                </c:pt>
                <c:pt idx="892">
                  <c:v>101324.99999857435</c:v>
                </c:pt>
                <c:pt idx="893">
                  <c:v>101324.99999857435</c:v>
                </c:pt>
                <c:pt idx="894">
                  <c:v>101324.99999857435</c:v>
                </c:pt>
                <c:pt idx="895">
                  <c:v>101324.99999857435</c:v>
                </c:pt>
                <c:pt idx="896">
                  <c:v>101324.99999857435</c:v>
                </c:pt>
                <c:pt idx="897">
                  <c:v>101324.99999857435</c:v>
                </c:pt>
                <c:pt idx="898">
                  <c:v>101324.99999857435</c:v>
                </c:pt>
                <c:pt idx="899">
                  <c:v>101324.99999857435</c:v>
                </c:pt>
                <c:pt idx="900">
                  <c:v>101324.99999857435</c:v>
                </c:pt>
                <c:pt idx="901">
                  <c:v>101324.99999857435</c:v>
                </c:pt>
                <c:pt idx="902">
                  <c:v>101324.99999857435</c:v>
                </c:pt>
                <c:pt idx="903">
                  <c:v>101324.99999857435</c:v>
                </c:pt>
                <c:pt idx="904">
                  <c:v>101324.99999857435</c:v>
                </c:pt>
                <c:pt idx="905">
                  <c:v>101324.99999857435</c:v>
                </c:pt>
                <c:pt idx="906">
                  <c:v>101324.99999857435</c:v>
                </c:pt>
                <c:pt idx="907">
                  <c:v>101324.99999857435</c:v>
                </c:pt>
                <c:pt idx="908">
                  <c:v>101324.99999857435</c:v>
                </c:pt>
                <c:pt idx="909">
                  <c:v>101324.99999857435</c:v>
                </c:pt>
                <c:pt idx="910">
                  <c:v>101324.99999857435</c:v>
                </c:pt>
                <c:pt idx="911">
                  <c:v>101324.99999857435</c:v>
                </c:pt>
                <c:pt idx="912">
                  <c:v>101324.99999857435</c:v>
                </c:pt>
                <c:pt idx="913">
                  <c:v>101324.99999857435</c:v>
                </c:pt>
                <c:pt idx="914">
                  <c:v>101324.99999857435</c:v>
                </c:pt>
                <c:pt idx="915">
                  <c:v>101324.99999857435</c:v>
                </c:pt>
                <c:pt idx="916">
                  <c:v>101324.99999857435</c:v>
                </c:pt>
                <c:pt idx="917">
                  <c:v>101324.99999857435</c:v>
                </c:pt>
                <c:pt idx="918">
                  <c:v>101324.99999857435</c:v>
                </c:pt>
                <c:pt idx="919">
                  <c:v>101324.99999857435</c:v>
                </c:pt>
                <c:pt idx="920">
                  <c:v>101324.99999857435</c:v>
                </c:pt>
                <c:pt idx="921">
                  <c:v>101324.99999857435</c:v>
                </c:pt>
                <c:pt idx="922">
                  <c:v>101324.99999857435</c:v>
                </c:pt>
                <c:pt idx="923">
                  <c:v>101324.99999857435</c:v>
                </c:pt>
                <c:pt idx="924">
                  <c:v>101324.99999857435</c:v>
                </c:pt>
                <c:pt idx="925">
                  <c:v>101324.99999857435</c:v>
                </c:pt>
                <c:pt idx="926">
                  <c:v>101324.99999857435</c:v>
                </c:pt>
                <c:pt idx="927">
                  <c:v>101324.99999857435</c:v>
                </c:pt>
                <c:pt idx="928">
                  <c:v>101324.99999857435</c:v>
                </c:pt>
                <c:pt idx="929">
                  <c:v>101324.99999857435</c:v>
                </c:pt>
                <c:pt idx="930">
                  <c:v>101324.99999857435</c:v>
                </c:pt>
                <c:pt idx="931">
                  <c:v>101324.99999857435</c:v>
                </c:pt>
                <c:pt idx="932">
                  <c:v>101324.99999857435</c:v>
                </c:pt>
                <c:pt idx="933">
                  <c:v>101324.99999857435</c:v>
                </c:pt>
                <c:pt idx="934">
                  <c:v>101324.99999857435</c:v>
                </c:pt>
                <c:pt idx="935">
                  <c:v>101324.99999857435</c:v>
                </c:pt>
                <c:pt idx="936">
                  <c:v>101324.99999857435</c:v>
                </c:pt>
                <c:pt idx="937">
                  <c:v>101324.99999857435</c:v>
                </c:pt>
                <c:pt idx="938">
                  <c:v>101324.99999857435</c:v>
                </c:pt>
                <c:pt idx="939">
                  <c:v>101324.99999857435</c:v>
                </c:pt>
                <c:pt idx="940">
                  <c:v>101324.99999857435</c:v>
                </c:pt>
                <c:pt idx="941">
                  <c:v>101324.99999857435</c:v>
                </c:pt>
                <c:pt idx="942">
                  <c:v>101324.99999857435</c:v>
                </c:pt>
                <c:pt idx="943">
                  <c:v>101324.99999857435</c:v>
                </c:pt>
                <c:pt idx="944">
                  <c:v>101324.99999857435</c:v>
                </c:pt>
                <c:pt idx="945">
                  <c:v>101324.99999857435</c:v>
                </c:pt>
                <c:pt idx="946">
                  <c:v>101324.99999857435</c:v>
                </c:pt>
                <c:pt idx="947">
                  <c:v>101324.99999857435</c:v>
                </c:pt>
                <c:pt idx="948">
                  <c:v>101324.99999857435</c:v>
                </c:pt>
                <c:pt idx="949">
                  <c:v>101324.99999857435</c:v>
                </c:pt>
                <c:pt idx="950">
                  <c:v>101324.99999857435</c:v>
                </c:pt>
                <c:pt idx="951">
                  <c:v>101324.99999857435</c:v>
                </c:pt>
                <c:pt idx="952">
                  <c:v>101324.99999857435</c:v>
                </c:pt>
                <c:pt idx="953">
                  <c:v>101324.99999857435</c:v>
                </c:pt>
                <c:pt idx="954">
                  <c:v>101324.99999857435</c:v>
                </c:pt>
                <c:pt idx="955">
                  <c:v>101324.99999857435</c:v>
                </c:pt>
                <c:pt idx="956">
                  <c:v>101324.99999857435</c:v>
                </c:pt>
                <c:pt idx="957">
                  <c:v>101324.99999857435</c:v>
                </c:pt>
                <c:pt idx="958">
                  <c:v>101324.99999857435</c:v>
                </c:pt>
                <c:pt idx="959">
                  <c:v>101324.99999857435</c:v>
                </c:pt>
                <c:pt idx="960">
                  <c:v>101324.99999857435</c:v>
                </c:pt>
                <c:pt idx="961">
                  <c:v>101324.99999857435</c:v>
                </c:pt>
                <c:pt idx="962">
                  <c:v>101324.99999857435</c:v>
                </c:pt>
                <c:pt idx="963">
                  <c:v>101324.99999857435</c:v>
                </c:pt>
                <c:pt idx="964">
                  <c:v>101324.99999857435</c:v>
                </c:pt>
                <c:pt idx="965">
                  <c:v>101324.99999857435</c:v>
                </c:pt>
                <c:pt idx="966">
                  <c:v>101324.99999857435</c:v>
                </c:pt>
                <c:pt idx="967">
                  <c:v>101324.99999857435</c:v>
                </c:pt>
                <c:pt idx="968">
                  <c:v>101324.99999857435</c:v>
                </c:pt>
                <c:pt idx="969">
                  <c:v>101324.99999857435</c:v>
                </c:pt>
                <c:pt idx="970">
                  <c:v>101324.99999857435</c:v>
                </c:pt>
                <c:pt idx="971">
                  <c:v>101324.99999857435</c:v>
                </c:pt>
                <c:pt idx="972">
                  <c:v>101324.99999857435</c:v>
                </c:pt>
                <c:pt idx="973">
                  <c:v>101324.99999857435</c:v>
                </c:pt>
                <c:pt idx="974">
                  <c:v>101324.99999857435</c:v>
                </c:pt>
                <c:pt idx="975">
                  <c:v>101324.99999857435</c:v>
                </c:pt>
                <c:pt idx="976">
                  <c:v>101324.99999857435</c:v>
                </c:pt>
                <c:pt idx="977">
                  <c:v>101324.99999857435</c:v>
                </c:pt>
                <c:pt idx="978">
                  <c:v>101324.99999857435</c:v>
                </c:pt>
                <c:pt idx="979">
                  <c:v>101324.99999857435</c:v>
                </c:pt>
                <c:pt idx="980">
                  <c:v>101324.99999857435</c:v>
                </c:pt>
                <c:pt idx="981">
                  <c:v>101324.99999857435</c:v>
                </c:pt>
                <c:pt idx="982">
                  <c:v>101324.99999857435</c:v>
                </c:pt>
                <c:pt idx="983">
                  <c:v>101324.99999857435</c:v>
                </c:pt>
                <c:pt idx="984">
                  <c:v>101324.99999857435</c:v>
                </c:pt>
                <c:pt idx="985">
                  <c:v>101324.99999857435</c:v>
                </c:pt>
                <c:pt idx="986">
                  <c:v>101324.99999857435</c:v>
                </c:pt>
                <c:pt idx="987">
                  <c:v>101324.99999857435</c:v>
                </c:pt>
                <c:pt idx="988">
                  <c:v>101324.99999857435</c:v>
                </c:pt>
                <c:pt idx="989">
                  <c:v>101324.99999857435</c:v>
                </c:pt>
                <c:pt idx="990">
                  <c:v>101324.99999857435</c:v>
                </c:pt>
                <c:pt idx="991">
                  <c:v>101324.99999857435</c:v>
                </c:pt>
                <c:pt idx="992">
                  <c:v>101324.99999857435</c:v>
                </c:pt>
                <c:pt idx="993">
                  <c:v>101324.99999857435</c:v>
                </c:pt>
                <c:pt idx="994">
                  <c:v>101324.99999857435</c:v>
                </c:pt>
                <c:pt idx="995">
                  <c:v>101324.99999857435</c:v>
                </c:pt>
                <c:pt idx="996">
                  <c:v>101324.99999857435</c:v>
                </c:pt>
                <c:pt idx="997">
                  <c:v>101324.99999857435</c:v>
                </c:pt>
                <c:pt idx="998">
                  <c:v>101324.99999857435</c:v>
                </c:pt>
                <c:pt idx="999">
                  <c:v>101324.99999857435</c:v>
                </c:pt>
                <c:pt idx="1000">
                  <c:v>101324.99999857435</c:v>
                </c:pt>
                <c:pt idx="1001">
                  <c:v>101324.99999857435</c:v>
                </c:pt>
                <c:pt idx="1002">
                  <c:v>101324.99999857435</c:v>
                </c:pt>
                <c:pt idx="1003">
                  <c:v>101324.99999857435</c:v>
                </c:pt>
                <c:pt idx="1004">
                  <c:v>101324.99999857435</c:v>
                </c:pt>
                <c:pt idx="1005">
                  <c:v>101324.99999857435</c:v>
                </c:pt>
                <c:pt idx="1006">
                  <c:v>101324.99999857435</c:v>
                </c:pt>
                <c:pt idx="1007">
                  <c:v>101324.99999857435</c:v>
                </c:pt>
                <c:pt idx="1008">
                  <c:v>101324.99999857435</c:v>
                </c:pt>
                <c:pt idx="1009">
                  <c:v>101324.99999857435</c:v>
                </c:pt>
                <c:pt idx="1010">
                  <c:v>101324.99999857435</c:v>
                </c:pt>
                <c:pt idx="1011">
                  <c:v>101324.99999857435</c:v>
                </c:pt>
                <c:pt idx="1012">
                  <c:v>101324.99999857435</c:v>
                </c:pt>
                <c:pt idx="1013">
                  <c:v>101324.99999857435</c:v>
                </c:pt>
                <c:pt idx="1014">
                  <c:v>101324.99999857435</c:v>
                </c:pt>
                <c:pt idx="1015">
                  <c:v>101324.99999857435</c:v>
                </c:pt>
                <c:pt idx="1016">
                  <c:v>101324.99999857435</c:v>
                </c:pt>
                <c:pt idx="1017">
                  <c:v>101324.99999857435</c:v>
                </c:pt>
                <c:pt idx="1018">
                  <c:v>101324.99999857435</c:v>
                </c:pt>
                <c:pt idx="1019">
                  <c:v>101324.99999857435</c:v>
                </c:pt>
                <c:pt idx="1020">
                  <c:v>101324.99999857435</c:v>
                </c:pt>
                <c:pt idx="1021">
                  <c:v>101324.99999857435</c:v>
                </c:pt>
                <c:pt idx="1022">
                  <c:v>101324.99999857435</c:v>
                </c:pt>
                <c:pt idx="1023">
                  <c:v>101324.99999857435</c:v>
                </c:pt>
                <c:pt idx="1024">
                  <c:v>101324.99999857435</c:v>
                </c:pt>
                <c:pt idx="1025">
                  <c:v>101324.99999857435</c:v>
                </c:pt>
                <c:pt idx="1026">
                  <c:v>101324.99999857435</c:v>
                </c:pt>
                <c:pt idx="1027">
                  <c:v>101324.99999857435</c:v>
                </c:pt>
                <c:pt idx="1028">
                  <c:v>101324.99999857435</c:v>
                </c:pt>
                <c:pt idx="1029">
                  <c:v>101324.99999857435</c:v>
                </c:pt>
                <c:pt idx="1030">
                  <c:v>101324.99999857435</c:v>
                </c:pt>
                <c:pt idx="1031">
                  <c:v>101324.99999857435</c:v>
                </c:pt>
                <c:pt idx="1032">
                  <c:v>101324.99999857435</c:v>
                </c:pt>
                <c:pt idx="1033">
                  <c:v>101324.99999857435</c:v>
                </c:pt>
                <c:pt idx="1034">
                  <c:v>101324.99999857435</c:v>
                </c:pt>
                <c:pt idx="1035">
                  <c:v>101324.99999857435</c:v>
                </c:pt>
                <c:pt idx="1036">
                  <c:v>101324.99999857435</c:v>
                </c:pt>
                <c:pt idx="1037">
                  <c:v>101324.99999857435</c:v>
                </c:pt>
                <c:pt idx="1038">
                  <c:v>101324.99999857435</c:v>
                </c:pt>
                <c:pt idx="1039">
                  <c:v>101324.99999857435</c:v>
                </c:pt>
                <c:pt idx="1040">
                  <c:v>101324.99999857435</c:v>
                </c:pt>
                <c:pt idx="1041">
                  <c:v>101324.99999857435</c:v>
                </c:pt>
                <c:pt idx="1042">
                  <c:v>101324.99999857435</c:v>
                </c:pt>
                <c:pt idx="1043">
                  <c:v>101324.99999857435</c:v>
                </c:pt>
                <c:pt idx="1044">
                  <c:v>101324.99999857435</c:v>
                </c:pt>
                <c:pt idx="1045">
                  <c:v>101324.99999857435</c:v>
                </c:pt>
                <c:pt idx="1046">
                  <c:v>101324.99999857435</c:v>
                </c:pt>
                <c:pt idx="1047">
                  <c:v>101324.99999857435</c:v>
                </c:pt>
                <c:pt idx="1048">
                  <c:v>101324.99999857435</c:v>
                </c:pt>
                <c:pt idx="1049">
                  <c:v>101324.99999857435</c:v>
                </c:pt>
                <c:pt idx="1050">
                  <c:v>101324.99999857435</c:v>
                </c:pt>
                <c:pt idx="1051">
                  <c:v>101324.99999857435</c:v>
                </c:pt>
                <c:pt idx="1052">
                  <c:v>101324.99999857435</c:v>
                </c:pt>
                <c:pt idx="1053">
                  <c:v>101324.99999857435</c:v>
                </c:pt>
                <c:pt idx="1054">
                  <c:v>101324.99999857435</c:v>
                </c:pt>
                <c:pt idx="1055">
                  <c:v>101324.99999857435</c:v>
                </c:pt>
                <c:pt idx="1056">
                  <c:v>101324.99999857435</c:v>
                </c:pt>
                <c:pt idx="1057">
                  <c:v>101324.99999857435</c:v>
                </c:pt>
                <c:pt idx="1058">
                  <c:v>101324.99999857435</c:v>
                </c:pt>
                <c:pt idx="1059">
                  <c:v>101324.99999857435</c:v>
                </c:pt>
                <c:pt idx="1060">
                  <c:v>101324.99999857435</c:v>
                </c:pt>
                <c:pt idx="1061">
                  <c:v>101324.99999857435</c:v>
                </c:pt>
                <c:pt idx="1062">
                  <c:v>101324.99999857435</c:v>
                </c:pt>
                <c:pt idx="1063">
                  <c:v>101324.99999857435</c:v>
                </c:pt>
                <c:pt idx="1064">
                  <c:v>101324.99999857435</c:v>
                </c:pt>
                <c:pt idx="1065">
                  <c:v>101324.99999857435</c:v>
                </c:pt>
                <c:pt idx="1066">
                  <c:v>101324.99999857435</c:v>
                </c:pt>
                <c:pt idx="1067">
                  <c:v>101324.99999857435</c:v>
                </c:pt>
                <c:pt idx="1068">
                  <c:v>101324.99999857435</c:v>
                </c:pt>
                <c:pt idx="1069">
                  <c:v>101324.99999857435</c:v>
                </c:pt>
                <c:pt idx="1070">
                  <c:v>101324.99999857435</c:v>
                </c:pt>
                <c:pt idx="1071">
                  <c:v>101324.99999857435</c:v>
                </c:pt>
                <c:pt idx="1072">
                  <c:v>101324.99999857435</c:v>
                </c:pt>
                <c:pt idx="1073">
                  <c:v>101324.99999857435</c:v>
                </c:pt>
                <c:pt idx="1074">
                  <c:v>101324.99999857435</c:v>
                </c:pt>
                <c:pt idx="1075">
                  <c:v>101324.99999857435</c:v>
                </c:pt>
                <c:pt idx="1076">
                  <c:v>101324.99999857435</c:v>
                </c:pt>
                <c:pt idx="1077">
                  <c:v>101324.99999857435</c:v>
                </c:pt>
                <c:pt idx="1078">
                  <c:v>101324.99999857435</c:v>
                </c:pt>
                <c:pt idx="1079">
                  <c:v>101324.99999857435</c:v>
                </c:pt>
                <c:pt idx="1080">
                  <c:v>101324.99999857435</c:v>
                </c:pt>
                <c:pt idx="1081">
                  <c:v>101324.99999857435</c:v>
                </c:pt>
                <c:pt idx="1082">
                  <c:v>101324.99999857435</c:v>
                </c:pt>
                <c:pt idx="1083">
                  <c:v>101324.99999857435</c:v>
                </c:pt>
                <c:pt idx="1084">
                  <c:v>101324.99999857435</c:v>
                </c:pt>
                <c:pt idx="1085">
                  <c:v>101324.99999857435</c:v>
                </c:pt>
                <c:pt idx="1086">
                  <c:v>101324.99999857435</c:v>
                </c:pt>
                <c:pt idx="1087">
                  <c:v>101324.99999857435</c:v>
                </c:pt>
                <c:pt idx="1088">
                  <c:v>101324.99999857435</c:v>
                </c:pt>
                <c:pt idx="1089">
                  <c:v>101324.99999857435</c:v>
                </c:pt>
                <c:pt idx="1090">
                  <c:v>101324.99999857435</c:v>
                </c:pt>
                <c:pt idx="1091">
                  <c:v>101324.99999857435</c:v>
                </c:pt>
                <c:pt idx="1092">
                  <c:v>101324.99999857435</c:v>
                </c:pt>
                <c:pt idx="1093">
                  <c:v>101324.99999857435</c:v>
                </c:pt>
                <c:pt idx="1094">
                  <c:v>101324.99999857435</c:v>
                </c:pt>
                <c:pt idx="1095">
                  <c:v>101324.99999857435</c:v>
                </c:pt>
                <c:pt idx="1096">
                  <c:v>101324.99999857435</c:v>
                </c:pt>
                <c:pt idx="1097">
                  <c:v>101324.99999857435</c:v>
                </c:pt>
                <c:pt idx="1098">
                  <c:v>101324.99999857435</c:v>
                </c:pt>
                <c:pt idx="1099">
                  <c:v>101324.99999857435</c:v>
                </c:pt>
                <c:pt idx="1100">
                  <c:v>101324.99999857435</c:v>
                </c:pt>
                <c:pt idx="1101">
                  <c:v>101324.99999857435</c:v>
                </c:pt>
                <c:pt idx="1102">
                  <c:v>101324.99999857435</c:v>
                </c:pt>
                <c:pt idx="1103">
                  <c:v>101324.99999857435</c:v>
                </c:pt>
                <c:pt idx="1104">
                  <c:v>101324.99999857435</c:v>
                </c:pt>
                <c:pt idx="1105">
                  <c:v>101324.99999857435</c:v>
                </c:pt>
                <c:pt idx="1106">
                  <c:v>101324.99999857435</c:v>
                </c:pt>
                <c:pt idx="1107">
                  <c:v>101324.99999857435</c:v>
                </c:pt>
                <c:pt idx="1108">
                  <c:v>101324.99999857435</c:v>
                </c:pt>
                <c:pt idx="1109">
                  <c:v>101324.99999857435</c:v>
                </c:pt>
                <c:pt idx="1110">
                  <c:v>101324.99999857435</c:v>
                </c:pt>
                <c:pt idx="1111">
                  <c:v>101324.99999857435</c:v>
                </c:pt>
                <c:pt idx="1112">
                  <c:v>101324.99999857435</c:v>
                </c:pt>
                <c:pt idx="1113">
                  <c:v>101324.99999857435</c:v>
                </c:pt>
                <c:pt idx="1114">
                  <c:v>101324.99999857435</c:v>
                </c:pt>
                <c:pt idx="1115">
                  <c:v>101324.99999857435</c:v>
                </c:pt>
                <c:pt idx="1116">
                  <c:v>101324.99999857435</c:v>
                </c:pt>
                <c:pt idx="1117">
                  <c:v>101324.99999857435</c:v>
                </c:pt>
                <c:pt idx="1118">
                  <c:v>101324.99999857435</c:v>
                </c:pt>
                <c:pt idx="1119">
                  <c:v>101324.99999857435</c:v>
                </c:pt>
                <c:pt idx="1120">
                  <c:v>101324.99999857435</c:v>
                </c:pt>
                <c:pt idx="1121">
                  <c:v>101324.99999857435</c:v>
                </c:pt>
                <c:pt idx="1122">
                  <c:v>101324.99999857435</c:v>
                </c:pt>
                <c:pt idx="1123">
                  <c:v>101324.99999857435</c:v>
                </c:pt>
                <c:pt idx="1124">
                  <c:v>101324.99999857435</c:v>
                </c:pt>
                <c:pt idx="1125">
                  <c:v>101324.99999857435</c:v>
                </c:pt>
                <c:pt idx="1126">
                  <c:v>101324.99999857435</c:v>
                </c:pt>
                <c:pt idx="1127">
                  <c:v>101324.99999857435</c:v>
                </c:pt>
                <c:pt idx="1128">
                  <c:v>101324.99999857435</c:v>
                </c:pt>
                <c:pt idx="1129">
                  <c:v>101324.99999857435</c:v>
                </c:pt>
                <c:pt idx="1130">
                  <c:v>101324.99999857435</c:v>
                </c:pt>
                <c:pt idx="1131">
                  <c:v>101324.99999857435</c:v>
                </c:pt>
                <c:pt idx="1132">
                  <c:v>101324.99999857435</c:v>
                </c:pt>
                <c:pt idx="1133">
                  <c:v>101324.99999857435</c:v>
                </c:pt>
                <c:pt idx="1134">
                  <c:v>101324.99999857435</c:v>
                </c:pt>
                <c:pt idx="1135">
                  <c:v>101324.99999857435</c:v>
                </c:pt>
                <c:pt idx="1136">
                  <c:v>101324.99999857435</c:v>
                </c:pt>
                <c:pt idx="1137">
                  <c:v>101324.99999857435</c:v>
                </c:pt>
                <c:pt idx="1138">
                  <c:v>101324.99999857435</c:v>
                </c:pt>
                <c:pt idx="1139">
                  <c:v>101324.99999857435</c:v>
                </c:pt>
                <c:pt idx="1140">
                  <c:v>101324.99999857435</c:v>
                </c:pt>
                <c:pt idx="1141">
                  <c:v>101324.99999857435</c:v>
                </c:pt>
                <c:pt idx="1142">
                  <c:v>101324.99999857435</c:v>
                </c:pt>
                <c:pt idx="1143">
                  <c:v>101324.99999857435</c:v>
                </c:pt>
                <c:pt idx="1144">
                  <c:v>101324.99999857435</c:v>
                </c:pt>
                <c:pt idx="1145">
                  <c:v>101324.99999857435</c:v>
                </c:pt>
                <c:pt idx="1146">
                  <c:v>101324.99999857435</c:v>
                </c:pt>
                <c:pt idx="1147">
                  <c:v>101324.99999857435</c:v>
                </c:pt>
                <c:pt idx="1148">
                  <c:v>101324.99999857435</c:v>
                </c:pt>
                <c:pt idx="1149">
                  <c:v>101324.99999857435</c:v>
                </c:pt>
                <c:pt idx="1150">
                  <c:v>101324.99999857435</c:v>
                </c:pt>
                <c:pt idx="1151">
                  <c:v>101324.99999857435</c:v>
                </c:pt>
                <c:pt idx="1152">
                  <c:v>101324.99999857435</c:v>
                </c:pt>
                <c:pt idx="1153">
                  <c:v>101324.99999857435</c:v>
                </c:pt>
                <c:pt idx="1154">
                  <c:v>101324.99999857435</c:v>
                </c:pt>
                <c:pt idx="1155">
                  <c:v>101324.99999857435</c:v>
                </c:pt>
                <c:pt idx="1156">
                  <c:v>101324.99999857435</c:v>
                </c:pt>
                <c:pt idx="1157">
                  <c:v>101324.99999857435</c:v>
                </c:pt>
                <c:pt idx="1158">
                  <c:v>101324.99999857435</c:v>
                </c:pt>
                <c:pt idx="1159">
                  <c:v>101324.99999857435</c:v>
                </c:pt>
                <c:pt idx="1160">
                  <c:v>101324.99999857435</c:v>
                </c:pt>
                <c:pt idx="1161">
                  <c:v>101324.99999857435</c:v>
                </c:pt>
                <c:pt idx="1162">
                  <c:v>101324.99999857435</c:v>
                </c:pt>
                <c:pt idx="1163">
                  <c:v>101324.99999857435</c:v>
                </c:pt>
                <c:pt idx="1164">
                  <c:v>101324.99999857435</c:v>
                </c:pt>
                <c:pt idx="1165">
                  <c:v>101324.99999857435</c:v>
                </c:pt>
                <c:pt idx="1166">
                  <c:v>101324.99999857435</c:v>
                </c:pt>
                <c:pt idx="1167">
                  <c:v>101324.99999857435</c:v>
                </c:pt>
                <c:pt idx="1168">
                  <c:v>101324.99999857435</c:v>
                </c:pt>
                <c:pt idx="1169">
                  <c:v>101324.99999857435</c:v>
                </c:pt>
                <c:pt idx="1170">
                  <c:v>101324.99999857435</c:v>
                </c:pt>
                <c:pt idx="1171">
                  <c:v>101324.99999857435</c:v>
                </c:pt>
                <c:pt idx="1172">
                  <c:v>101324.99999857435</c:v>
                </c:pt>
                <c:pt idx="1173">
                  <c:v>101324.99999857435</c:v>
                </c:pt>
                <c:pt idx="1174">
                  <c:v>101324.99999857435</c:v>
                </c:pt>
                <c:pt idx="1175">
                  <c:v>101324.99999857435</c:v>
                </c:pt>
                <c:pt idx="1176">
                  <c:v>101324.99999857435</c:v>
                </c:pt>
                <c:pt idx="1177">
                  <c:v>101324.99999857435</c:v>
                </c:pt>
                <c:pt idx="1178">
                  <c:v>101324.99999857435</c:v>
                </c:pt>
                <c:pt idx="1179">
                  <c:v>101324.99999857435</c:v>
                </c:pt>
                <c:pt idx="1180">
                  <c:v>101324.99999857435</c:v>
                </c:pt>
                <c:pt idx="1181">
                  <c:v>101324.99999857435</c:v>
                </c:pt>
                <c:pt idx="1182">
                  <c:v>101324.99999857435</c:v>
                </c:pt>
                <c:pt idx="1183">
                  <c:v>101324.99999857435</c:v>
                </c:pt>
                <c:pt idx="1184">
                  <c:v>101324.99999857435</c:v>
                </c:pt>
                <c:pt idx="1185">
                  <c:v>101324.99999857435</c:v>
                </c:pt>
                <c:pt idx="1186">
                  <c:v>101324.99999857435</c:v>
                </c:pt>
                <c:pt idx="1187">
                  <c:v>101324.99999857435</c:v>
                </c:pt>
                <c:pt idx="1188">
                  <c:v>101324.99999857435</c:v>
                </c:pt>
                <c:pt idx="1189">
                  <c:v>101324.99999857435</c:v>
                </c:pt>
                <c:pt idx="1190">
                  <c:v>101324.99999857435</c:v>
                </c:pt>
                <c:pt idx="1191">
                  <c:v>101324.99999857435</c:v>
                </c:pt>
                <c:pt idx="1192">
                  <c:v>101324.99999857435</c:v>
                </c:pt>
                <c:pt idx="1193">
                  <c:v>101324.99999857435</c:v>
                </c:pt>
                <c:pt idx="1194">
                  <c:v>101324.99999857435</c:v>
                </c:pt>
                <c:pt idx="1195">
                  <c:v>101324.99999857435</c:v>
                </c:pt>
                <c:pt idx="1196">
                  <c:v>101324.99999857435</c:v>
                </c:pt>
                <c:pt idx="1197">
                  <c:v>101324.99999857435</c:v>
                </c:pt>
                <c:pt idx="1198">
                  <c:v>101324.99999857435</c:v>
                </c:pt>
                <c:pt idx="1199">
                  <c:v>101324.99999857435</c:v>
                </c:pt>
                <c:pt idx="1200">
                  <c:v>101324.99999857435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4-4DF9-91A6-81782947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699808"/>
        <c:axId val="1205698848"/>
      </c:lineChart>
      <c:catAx>
        <c:axId val="1205699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5698848"/>
        <c:crosses val="autoZero"/>
        <c:auto val="1"/>
        <c:lblAlgn val="ctr"/>
        <c:lblOffset val="100"/>
        <c:noMultiLvlLbl val="0"/>
      </c:catAx>
      <c:valAx>
        <c:axId val="1205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056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371475</xdr:colOff>
      <xdr:row>1</xdr:row>
      <xdr:rowOff>85725</xdr:rowOff>
    </xdr:from>
    <xdr:to>
      <xdr:col>15</xdr:col>
      <xdr:colOff>390525</xdr:colOff>
      <xdr:row>10</xdr:row>
      <xdr:rowOff>9525</xdr:rowOff>
    </xdr:to>
    <xdr:pic>
      <xdr:nvPicPr>
        <xdr:cNvPr id="2" name="Afbeelding 1" descr="A table with text and numbers&#10;&#10;Description automatically generated">
          <a:extLst>
            <a:ext uri="{FF2B5EF4-FFF2-40B4-BE49-F238E27FC236}">
              <a16:creationId xmlns:a16="http://schemas.microsoft.com/office/drawing/2014/main" id="{39F38DC6-B601-DEF4-7701-24341401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276225"/>
          <a:ext cx="611505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361950</xdr:colOff>
      <xdr:row>11</xdr:row>
      <xdr:rowOff>19050</xdr:rowOff>
    </xdr:from>
    <xdr:to>
      <xdr:col>15</xdr:col>
      <xdr:colOff>381000</xdr:colOff>
      <xdr:row>29</xdr:row>
      <xdr:rowOff>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F86D4564-AB35-EB30-0673-C2DE4903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2114550"/>
          <a:ext cx="6115050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31</xdr:row>
      <xdr:rowOff>180975</xdr:rowOff>
    </xdr:from>
    <xdr:to>
      <xdr:col>9</xdr:col>
      <xdr:colOff>562245</xdr:colOff>
      <xdr:row>35</xdr:row>
      <xdr:rowOff>9607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36E477D9-5944-E1C5-F674-6CB538BF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8350" y="6086475"/>
          <a:ext cx="1933845" cy="590632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1</xdr:row>
      <xdr:rowOff>38100</xdr:rowOff>
    </xdr:from>
    <xdr:to>
      <xdr:col>25</xdr:col>
      <xdr:colOff>229388</xdr:colOff>
      <xdr:row>10</xdr:row>
      <xdr:rowOff>181234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8574816F-F0A2-45ED-B94C-BCED0FB6A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77700" y="228600"/>
          <a:ext cx="5649113" cy="18576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962025</xdr:colOff>
      <xdr:row>6</xdr:row>
      <xdr:rowOff>147637</xdr:rowOff>
    </xdr:from>
    <xdr:to>
      <xdr:col>14</xdr:col>
      <xdr:colOff>409575</xdr:colOff>
      <xdr:row>21</xdr:row>
      <xdr:rowOff>33337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934DFFE8-A4E0-C508-86BE-9F969DC83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733425</xdr:colOff>
      <xdr:row>24</xdr:row>
      <xdr:rowOff>171450</xdr:rowOff>
    </xdr:from>
    <xdr:to>
      <xdr:col>14</xdr:col>
      <xdr:colOff>400838</xdr:colOff>
      <xdr:row>34</xdr:row>
      <xdr:rowOff>124084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4B583C65-7BD0-BD55-4D2C-8248F813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5525" y="4743450"/>
          <a:ext cx="5649113" cy="1857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4483</xdr:colOff>
      <xdr:row>0</xdr:row>
      <xdr:rowOff>89366</xdr:rowOff>
    </xdr:from>
    <xdr:to>
      <xdr:col>21</xdr:col>
      <xdr:colOff>181535</xdr:colOff>
      <xdr:row>14</xdr:row>
      <xdr:rowOff>165566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AC0215BD-99DB-0334-2C87-360465712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276786</xdr:colOff>
      <xdr:row>15</xdr:row>
      <xdr:rowOff>84324</xdr:rowOff>
    </xdr:from>
    <xdr:to>
      <xdr:col>20</xdr:col>
      <xdr:colOff>453838</xdr:colOff>
      <xdr:row>29</xdr:row>
      <xdr:rowOff>160524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A4ACCAD4-EF91-798F-CCC5-5C81B23A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271743</xdr:colOff>
      <xdr:row>30</xdr:row>
      <xdr:rowOff>98890</xdr:rowOff>
    </xdr:from>
    <xdr:to>
      <xdr:col>20</xdr:col>
      <xdr:colOff>410695</xdr:colOff>
      <xdr:row>45</xdr:row>
      <xdr:rowOff>160803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DB3815A-F3CD-DD32-398A-5532366FC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7C43-E2A2-4171-A01F-5844E0172F27}">
  <dimension ref="A4:C22"/>
  <sheetViews>
    <sheetView workbookViewId="0">
      <selection activeCell="D25" sqref="D25"/>
    </sheetView>
  </sheetViews>
  <sheetFormatPr defaultRowHeight="15" x14ac:dyDescent="0.25"/>
  <cols>
    <col min="1" max="1" width="29.85546875" customWidth="1"/>
    <col min="2" max="3" width="15.7109375" customWidth="1"/>
  </cols>
  <sheetData>
    <row r="4" spans="1:3" x14ac:dyDescent="0.25">
      <c r="A4" t="s">
        <v>0</v>
      </c>
      <c r="B4">
        <f>8067/1000</f>
        <v>8.0670000000000002</v>
      </c>
      <c r="C4" t="s">
        <v>1</v>
      </c>
    </row>
    <row r="5" spans="1:3" x14ac:dyDescent="0.25">
      <c r="A5" t="s">
        <v>2</v>
      </c>
      <c r="B5">
        <f>(261+246+78+263)/1000</f>
        <v>0.84799999999999998</v>
      </c>
      <c r="C5" t="s">
        <v>1</v>
      </c>
    </row>
    <row r="6" spans="1:3" x14ac:dyDescent="0.25">
      <c r="A6" t="s">
        <v>6</v>
      </c>
      <c r="B6">
        <v>31.1</v>
      </c>
      <c r="C6" t="s">
        <v>7</v>
      </c>
    </row>
    <row r="7" spans="1:3" x14ac:dyDescent="0.25">
      <c r="A7" t="s">
        <v>14</v>
      </c>
      <c r="B7">
        <f>B5*B6/100</f>
        <v>0.26372800000000002</v>
      </c>
      <c r="C7" t="s">
        <v>1</v>
      </c>
    </row>
    <row r="10" spans="1:3" x14ac:dyDescent="0.25">
      <c r="A10" t="s">
        <v>13</v>
      </c>
      <c r="B10">
        <f>(1-(B4-B7)/B4)*100</f>
        <v>3.2692202801537174</v>
      </c>
      <c r="C10" t="s">
        <v>7</v>
      </c>
    </row>
    <row r="12" spans="1:3" x14ac:dyDescent="0.25">
      <c r="A12" t="s">
        <v>15</v>
      </c>
      <c r="B12">
        <v>101325</v>
      </c>
      <c r="C12" t="s">
        <v>16</v>
      </c>
    </row>
    <row r="13" spans="1:3" x14ac:dyDescent="0.25">
      <c r="A13" t="s">
        <v>17</v>
      </c>
      <c r="B13">
        <f>B4</f>
        <v>8.0670000000000002</v>
      </c>
      <c r="C13" t="s">
        <v>1</v>
      </c>
    </row>
    <row r="14" spans="1:3" x14ac:dyDescent="0.25">
      <c r="A14" t="s">
        <v>18</v>
      </c>
      <c r="B14">
        <f>B5</f>
        <v>0.84799999999999998</v>
      </c>
      <c r="C14" t="s">
        <v>1</v>
      </c>
    </row>
    <row r="15" spans="1:3" x14ac:dyDescent="0.25">
      <c r="A15" t="s">
        <v>20</v>
      </c>
      <c r="B15">
        <f>B12*(B14/B13)</f>
        <v>10651.245816288583</v>
      </c>
      <c r="C15" t="s">
        <v>16</v>
      </c>
    </row>
    <row r="16" spans="1:3" x14ac:dyDescent="0.25">
      <c r="A16" t="s">
        <v>19</v>
      </c>
      <c r="B16">
        <f>B12+B15</f>
        <v>111976.24581628859</v>
      </c>
      <c r="C16" t="s">
        <v>16</v>
      </c>
    </row>
    <row r="21" spans="1:3" x14ac:dyDescent="0.25">
      <c r="A21" t="s">
        <v>21</v>
      </c>
      <c r="B21">
        <f>B4*0.01</f>
        <v>8.0670000000000006E-2</v>
      </c>
      <c r="C21" t="s">
        <v>1</v>
      </c>
    </row>
    <row r="22" spans="1:3" x14ac:dyDescent="0.25">
      <c r="A22" t="s">
        <v>22</v>
      </c>
      <c r="B22">
        <f>B7-B21</f>
        <v>0.183058</v>
      </c>
      <c r="C2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2EE4-2331-49CF-A1AC-6E3F400A8D0E}">
  <dimension ref="A1:H1202"/>
  <sheetViews>
    <sheetView workbookViewId="0">
      <selection activeCell="E4" sqref="E4"/>
    </sheetView>
  </sheetViews>
  <sheetFormatPr defaultRowHeight="15" x14ac:dyDescent="0.25"/>
  <cols>
    <col min="1" max="5" width="25.7109375" customWidth="1"/>
    <col min="7" max="7" width="12.85546875" customWidth="1"/>
    <col min="8" max="8" width="22" bestFit="1" customWidth="1"/>
  </cols>
  <sheetData>
    <row r="1" spans="1:8" x14ac:dyDescent="0.25">
      <c r="A1" t="s">
        <v>3</v>
      </c>
      <c r="B1" t="s">
        <v>4</v>
      </c>
      <c r="C1" t="s">
        <v>8</v>
      </c>
      <c r="D1" t="s">
        <v>5</v>
      </c>
      <c r="E1" t="s">
        <v>9</v>
      </c>
    </row>
    <row r="2" spans="1:8" x14ac:dyDescent="0.25">
      <c r="A2">
        <v>2400</v>
      </c>
      <c r="B2" s="1">
        <v>1.6666666666666667</v>
      </c>
      <c r="C2">
        <v>0</v>
      </c>
      <c r="D2">
        <v>0</v>
      </c>
      <c r="E2">
        <f>D2*$H$3</f>
        <v>0</v>
      </c>
      <c r="G2" t="s">
        <v>10</v>
      </c>
      <c r="H2" s="4">
        <f>SUM(D:D)</f>
        <v>0.24275612592526224</v>
      </c>
    </row>
    <row r="3" spans="1:8" x14ac:dyDescent="0.25">
      <c r="A3">
        <v>2401</v>
      </c>
      <c r="B3" s="1">
        <v>1.6673611111111111</v>
      </c>
      <c r="C3">
        <v>0</v>
      </c>
      <c r="D3">
        <v>0</v>
      </c>
      <c r="E3">
        <f t="shared" ref="E3:E66" si="0">D3*$H$3</f>
        <v>0</v>
      </c>
      <c r="G3" t="s">
        <v>11</v>
      </c>
      <c r="H3">
        <v>1</v>
      </c>
    </row>
    <row r="4" spans="1:8" x14ac:dyDescent="0.25">
      <c r="A4">
        <v>2402</v>
      </c>
      <c r="B4" s="1">
        <v>1.6680555555555556</v>
      </c>
      <c r="C4">
        <v>0</v>
      </c>
      <c r="D4">
        <v>0</v>
      </c>
      <c r="E4">
        <f t="shared" si="0"/>
        <v>0</v>
      </c>
      <c r="G4" t="s">
        <v>12</v>
      </c>
      <c r="H4">
        <f>SUM(E:E)</f>
        <v>0.24275612592526224</v>
      </c>
    </row>
    <row r="5" spans="1:8" x14ac:dyDescent="0.25">
      <c r="A5">
        <v>2403</v>
      </c>
      <c r="B5" s="1">
        <v>1.66875</v>
      </c>
      <c r="C5">
        <v>0</v>
      </c>
      <c r="D5">
        <v>0</v>
      </c>
      <c r="E5">
        <f t="shared" si="0"/>
        <v>0</v>
      </c>
    </row>
    <row r="6" spans="1:8" x14ac:dyDescent="0.25">
      <c r="A6">
        <v>2404</v>
      </c>
      <c r="B6" s="1">
        <v>1.6694444444444445</v>
      </c>
      <c r="C6">
        <v>0</v>
      </c>
      <c r="D6">
        <v>0</v>
      </c>
      <c r="E6">
        <f t="shared" si="0"/>
        <v>0</v>
      </c>
    </row>
    <row r="7" spans="1:8" x14ac:dyDescent="0.25">
      <c r="A7">
        <v>2405</v>
      </c>
      <c r="B7" s="1">
        <v>1.6701388888888888</v>
      </c>
      <c r="C7">
        <v>0</v>
      </c>
      <c r="D7">
        <v>0</v>
      </c>
      <c r="E7">
        <f t="shared" si="0"/>
        <v>0</v>
      </c>
    </row>
    <row r="8" spans="1:8" x14ac:dyDescent="0.25">
      <c r="A8">
        <v>2406</v>
      </c>
      <c r="B8" s="1">
        <v>1.6708333333333334</v>
      </c>
      <c r="C8">
        <v>0</v>
      </c>
      <c r="D8">
        <v>0</v>
      </c>
      <c r="E8">
        <f t="shared" si="0"/>
        <v>0</v>
      </c>
    </row>
    <row r="9" spans="1:8" x14ac:dyDescent="0.25">
      <c r="A9">
        <v>2407</v>
      </c>
      <c r="B9" s="1">
        <v>1.6715277777777777</v>
      </c>
      <c r="C9">
        <v>0</v>
      </c>
      <c r="D9">
        <v>0</v>
      </c>
      <c r="E9">
        <f t="shared" si="0"/>
        <v>0</v>
      </c>
    </row>
    <row r="10" spans="1:8" x14ac:dyDescent="0.25">
      <c r="A10">
        <v>2408</v>
      </c>
      <c r="B10" s="1">
        <v>1.6722222222222223</v>
      </c>
      <c r="C10">
        <v>0</v>
      </c>
      <c r="D10">
        <v>0</v>
      </c>
      <c r="E10">
        <f t="shared" si="0"/>
        <v>0</v>
      </c>
    </row>
    <row r="11" spans="1:8" x14ac:dyDescent="0.25">
      <c r="A11">
        <v>2409</v>
      </c>
      <c r="B11" s="1">
        <v>1.6729166666666666</v>
      </c>
      <c r="C11">
        <v>0</v>
      </c>
      <c r="D11">
        <v>0</v>
      </c>
      <c r="E11">
        <f t="shared" si="0"/>
        <v>0</v>
      </c>
    </row>
    <row r="12" spans="1:8" x14ac:dyDescent="0.25">
      <c r="A12">
        <v>2410</v>
      </c>
      <c r="B12" s="1">
        <v>1.6736111111111112</v>
      </c>
      <c r="C12">
        <v>0</v>
      </c>
      <c r="D12">
        <v>0</v>
      </c>
      <c r="E12">
        <f t="shared" si="0"/>
        <v>0</v>
      </c>
    </row>
    <row r="13" spans="1:8" x14ac:dyDescent="0.25">
      <c r="A13">
        <v>2411</v>
      </c>
      <c r="B13" s="1">
        <v>1.6743055555555555</v>
      </c>
      <c r="C13">
        <v>0</v>
      </c>
      <c r="D13">
        <v>0</v>
      </c>
      <c r="E13">
        <f t="shared" si="0"/>
        <v>0</v>
      </c>
    </row>
    <row r="14" spans="1:8" x14ac:dyDescent="0.25">
      <c r="A14">
        <v>2412</v>
      </c>
      <c r="B14" s="1">
        <v>1.675</v>
      </c>
      <c r="C14">
        <v>0</v>
      </c>
      <c r="D14">
        <v>0</v>
      </c>
      <c r="E14">
        <f t="shared" si="0"/>
        <v>0</v>
      </c>
    </row>
    <row r="15" spans="1:8" x14ac:dyDescent="0.25">
      <c r="A15">
        <v>2413</v>
      </c>
      <c r="B15" s="1">
        <v>1.6756944444444444</v>
      </c>
      <c r="C15">
        <v>0</v>
      </c>
      <c r="D15">
        <v>0</v>
      </c>
      <c r="E15">
        <f t="shared" si="0"/>
        <v>0</v>
      </c>
    </row>
    <row r="16" spans="1:8" x14ac:dyDescent="0.25">
      <c r="A16">
        <v>2414</v>
      </c>
      <c r="B16" s="1">
        <v>1.6763888888888889</v>
      </c>
      <c r="C16">
        <v>0</v>
      </c>
      <c r="D16">
        <v>0</v>
      </c>
      <c r="E16">
        <f t="shared" si="0"/>
        <v>0</v>
      </c>
    </row>
    <row r="17" spans="1:5" x14ac:dyDescent="0.25">
      <c r="A17">
        <v>2415</v>
      </c>
      <c r="B17" s="1">
        <v>1.6770833333333333</v>
      </c>
      <c r="C17">
        <v>0</v>
      </c>
      <c r="D17">
        <v>0</v>
      </c>
      <c r="E17">
        <f t="shared" si="0"/>
        <v>0</v>
      </c>
    </row>
    <row r="18" spans="1:5" x14ac:dyDescent="0.25">
      <c r="A18">
        <v>2416</v>
      </c>
      <c r="B18" s="1">
        <v>1.6777777777777778</v>
      </c>
      <c r="C18">
        <v>0</v>
      </c>
      <c r="D18">
        <v>0</v>
      </c>
      <c r="E18">
        <f t="shared" si="0"/>
        <v>0</v>
      </c>
    </row>
    <row r="19" spans="1:5" x14ac:dyDescent="0.25">
      <c r="A19">
        <v>2417</v>
      </c>
      <c r="B19" s="1">
        <v>1.6784722222222221</v>
      </c>
      <c r="C19">
        <v>0</v>
      </c>
      <c r="D19">
        <v>0</v>
      </c>
      <c r="E19">
        <f t="shared" si="0"/>
        <v>0</v>
      </c>
    </row>
    <row r="20" spans="1:5" x14ac:dyDescent="0.25">
      <c r="A20">
        <v>2418</v>
      </c>
      <c r="B20" s="1">
        <v>1.6791666666666667</v>
      </c>
      <c r="C20">
        <v>0</v>
      </c>
      <c r="D20">
        <v>0</v>
      </c>
      <c r="E20">
        <f t="shared" si="0"/>
        <v>0</v>
      </c>
    </row>
    <row r="21" spans="1:5" x14ac:dyDescent="0.25">
      <c r="A21">
        <v>2419</v>
      </c>
      <c r="B21" s="1">
        <v>1.679861111111111</v>
      </c>
      <c r="C21">
        <v>0</v>
      </c>
      <c r="D21">
        <v>0</v>
      </c>
      <c r="E21">
        <f t="shared" si="0"/>
        <v>0</v>
      </c>
    </row>
    <row r="22" spans="1:5" x14ac:dyDescent="0.25">
      <c r="A22">
        <v>2420</v>
      </c>
      <c r="B22" s="1">
        <v>1.6805555555555556</v>
      </c>
      <c r="C22">
        <v>0</v>
      </c>
      <c r="D22">
        <v>0</v>
      </c>
      <c r="E22">
        <f t="shared" si="0"/>
        <v>0</v>
      </c>
    </row>
    <row r="23" spans="1:5" x14ac:dyDescent="0.25">
      <c r="A23">
        <v>2421</v>
      </c>
      <c r="B23" s="1">
        <v>1.6812499999999999</v>
      </c>
      <c r="C23">
        <v>0</v>
      </c>
      <c r="D23">
        <v>0</v>
      </c>
      <c r="E23">
        <f t="shared" si="0"/>
        <v>0</v>
      </c>
    </row>
    <row r="24" spans="1:5" x14ac:dyDescent="0.25">
      <c r="A24">
        <v>2422</v>
      </c>
      <c r="B24" s="1">
        <v>1.6819444444444445</v>
      </c>
      <c r="C24">
        <v>0</v>
      </c>
      <c r="D24">
        <v>0</v>
      </c>
      <c r="E24">
        <f t="shared" si="0"/>
        <v>0</v>
      </c>
    </row>
    <row r="25" spans="1:5" x14ac:dyDescent="0.25">
      <c r="A25">
        <v>2423</v>
      </c>
      <c r="B25" s="1">
        <v>1.6826388888888888</v>
      </c>
      <c r="C25">
        <v>0</v>
      </c>
      <c r="D25">
        <v>0</v>
      </c>
      <c r="E25">
        <f t="shared" si="0"/>
        <v>0</v>
      </c>
    </row>
    <row r="26" spans="1:5" x14ac:dyDescent="0.25">
      <c r="A26">
        <v>2424</v>
      </c>
      <c r="B26" s="1">
        <v>1.6833333333333333</v>
      </c>
      <c r="C26">
        <v>0</v>
      </c>
      <c r="D26">
        <v>0</v>
      </c>
      <c r="E26">
        <f t="shared" si="0"/>
        <v>0</v>
      </c>
    </row>
    <row r="27" spans="1:5" x14ac:dyDescent="0.25">
      <c r="A27">
        <v>2425</v>
      </c>
      <c r="B27" s="1">
        <v>1.6840277777777777</v>
      </c>
      <c r="C27">
        <v>0</v>
      </c>
      <c r="D27">
        <v>0</v>
      </c>
      <c r="E27">
        <f t="shared" si="0"/>
        <v>0</v>
      </c>
    </row>
    <row r="28" spans="1:5" x14ac:dyDescent="0.25">
      <c r="A28">
        <v>2426</v>
      </c>
      <c r="B28" s="1">
        <v>1.6847222222222222</v>
      </c>
      <c r="C28">
        <v>0</v>
      </c>
      <c r="D28">
        <v>0</v>
      </c>
      <c r="E28">
        <f t="shared" si="0"/>
        <v>0</v>
      </c>
    </row>
    <row r="29" spans="1:5" x14ac:dyDescent="0.25">
      <c r="A29">
        <v>2427</v>
      </c>
      <c r="B29" s="1">
        <v>1.6854166666666666</v>
      </c>
      <c r="C29">
        <v>0</v>
      </c>
      <c r="D29">
        <v>0</v>
      </c>
      <c r="E29">
        <f t="shared" si="0"/>
        <v>0</v>
      </c>
    </row>
    <row r="30" spans="1:5" x14ac:dyDescent="0.25">
      <c r="A30">
        <v>2428</v>
      </c>
      <c r="B30" s="1">
        <v>1.6861111111111111</v>
      </c>
      <c r="C30">
        <v>0</v>
      </c>
      <c r="D30">
        <v>0</v>
      </c>
      <c r="E30">
        <f t="shared" si="0"/>
        <v>0</v>
      </c>
    </row>
    <row r="31" spans="1:5" x14ac:dyDescent="0.25">
      <c r="A31">
        <v>2429</v>
      </c>
      <c r="B31" s="1">
        <v>1.6868055555555554</v>
      </c>
      <c r="C31">
        <v>0</v>
      </c>
      <c r="D31">
        <v>0</v>
      </c>
      <c r="E31">
        <f t="shared" si="0"/>
        <v>0</v>
      </c>
    </row>
    <row r="32" spans="1:5" x14ac:dyDescent="0.25">
      <c r="A32">
        <v>2430</v>
      </c>
      <c r="B32" s="1">
        <v>1.6875</v>
      </c>
      <c r="C32">
        <v>0</v>
      </c>
      <c r="D32">
        <v>0</v>
      </c>
      <c r="E32">
        <f t="shared" si="0"/>
        <v>0</v>
      </c>
    </row>
    <row r="33" spans="1:5" x14ac:dyDescent="0.25">
      <c r="A33">
        <v>2431</v>
      </c>
      <c r="B33" s="1">
        <v>1.6881944444444446</v>
      </c>
      <c r="C33">
        <v>0</v>
      </c>
      <c r="D33">
        <v>0</v>
      </c>
      <c r="E33">
        <f t="shared" si="0"/>
        <v>0</v>
      </c>
    </row>
    <row r="34" spans="1:5" x14ac:dyDescent="0.25">
      <c r="A34">
        <v>2432</v>
      </c>
      <c r="B34" s="1">
        <v>1.6888888888888889</v>
      </c>
      <c r="C34">
        <v>0</v>
      </c>
      <c r="D34">
        <v>0</v>
      </c>
      <c r="E34">
        <f t="shared" si="0"/>
        <v>0</v>
      </c>
    </row>
    <row r="35" spans="1:5" x14ac:dyDescent="0.25">
      <c r="A35">
        <v>2433</v>
      </c>
      <c r="B35" s="1">
        <v>1.6895833333333334</v>
      </c>
      <c r="C35">
        <v>0</v>
      </c>
      <c r="D35">
        <v>0</v>
      </c>
      <c r="E35">
        <f t="shared" si="0"/>
        <v>0</v>
      </c>
    </row>
    <row r="36" spans="1:5" x14ac:dyDescent="0.25">
      <c r="A36">
        <v>2434</v>
      </c>
      <c r="B36" s="1">
        <v>1.6902777777777778</v>
      </c>
      <c r="C36">
        <v>0</v>
      </c>
      <c r="D36">
        <v>0</v>
      </c>
      <c r="E36">
        <f t="shared" si="0"/>
        <v>0</v>
      </c>
    </row>
    <row r="37" spans="1:5" x14ac:dyDescent="0.25">
      <c r="A37">
        <v>2435</v>
      </c>
      <c r="B37" s="1">
        <v>1.6909722222222223</v>
      </c>
      <c r="C37">
        <v>0</v>
      </c>
      <c r="D37">
        <v>0</v>
      </c>
      <c r="E37">
        <f t="shared" si="0"/>
        <v>0</v>
      </c>
    </row>
    <row r="38" spans="1:5" x14ac:dyDescent="0.25">
      <c r="A38">
        <v>2436</v>
      </c>
      <c r="B38" s="1">
        <v>1.6916666666666667</v>
      </c>
      <c r="C38">
        <v>0</v>
      </c>
      <c r="D38">
        <v>0</v>
      </c>
      <c r="E38">
        <f t="shared" si="0"/>
        <v>0</v>
      </c>
    </row>
    <row r="39" spans="1:5" x14ac:dyDescent="0.25">
      <c r="A39">
        <v>2437</v>
      </c>
      <c r="B39" s="1">
        <v>1.6923611111111112</v>
      </c>
      <c r="C39">
        <v>0</v>
      </c>
      <c r="D39">
        <v>0</v>
      </c>
      <c r="E39">
        <f t="shared" si="0"/>
        <v>0</v>
      </c>
    </row>
    <row r="40" spans="1:5" x14ac:dyDescent="0.25">
      <c r="A40">
        <v>2438</v>
      </c>
      <c r="B40" s="1">
        <v>1.6930555555555555</v>
      </c>
      <c r="C40">
        <v>0</v>
      </c>
      <c r="D40">
        <v>0</v>
      </c>
      <c r="E40">
        <f t="shared" si="0"/>
        <v>0</v>
      </c>
    </row>
    <row r="41" spans="1:5" x14ac:dyDescent="0.25">
      <c r="A41">
        <v>2439</v>
      </c>
      <c r="B41" s="1">
        <v>1.6937500000000001</v>
      </c>
      <c r="C41">
        <v>0</v>
      </c>
      <c r="D41">
        <v>0</v>
      </c>
      <c r="E41">
        <f t="shared" si="0"/>
        <v>0</v>
      </c>
    </row>
    <row r="42" spans="1:5" x14ac:dyDescent="0.25">
      <c r="A42">
        <v>2440</v>
      </c>
      <c r="B42" s="1">
        <v>1.6944444444444444</v>
      </c>
      <c r="C42">
        <v>0</v>
      </c>
      <c r="D42">
        <v>0</v>
      </c>
      <c r="E42">
        <f t="shared" si="0"/>
        <v>0</v>
      </c>
    </row>
    <row r="43" spans="1:5" x14ac:dyDescent="0.25">
      <c r="A43">
        <v>2441</v>
      </c>
      <c r="B43" s="1">
        <v>1.695138888888889</v>
      </c>
      <c r="C43">
        <v>0</v>
      </c>
      <c r="D43">
        <v>0</v>
      </c>
      <c r="E43">
        <f t="shared" si="0"/>
        <v>0</v>
      </c>
    </row>
    <row r="44" spans="1:5" x14ac:dyDescent="0.25">
      <c r="A44">
        <v>2442</v>
      </c>
      <c r="B44" s="1">
        <v>1.6958333333333333</v>
      </c>
      <c r="C44">
        <v>0</v>
      </c>
      <c r="D44">
        <v>0</v>
      </c>
      <c r="E44">
        <f t="shared" si="0"/>
        <v>0</v>
      </c>
    </row>
    <row r="45" spans="1:5" x14ac:dyDescent="0.25">
      <c r="A45">
        <v>2443</v>
      </c>
      <c r="B45" s="1">
        <v>1.6965277777777779</v>
      </c>
      <c r="C45">
        <v>0</v>
      </c>
      <c r="D45">
        <v>0</v>
      </c>
      <c r="E45">
        <f t="shared" si="0"/>
        <v>0</v>
      </c>
    </row>
    <row r="46" spans="1:5" x14ac:dyDescent="0.25">
      <c r="A46">
        <v>2444</v>
      </c>
      <c r="B46" s="1">
        <v>1.6972222222222222</v>
      </c>
      <c r="C46">
        <v>0</v>
      </c>
      <c r="D46">
        <v>0</v>
      </c>
      <c r="E46">
        <f t="shared" si="0"/>
        <v>0</v>
      </c>
    </row>
    <row r="47" spans="1:5" x14ac:dyDescent="0.25">
      <c r="A47">
        <v>2445</v>
      </c>
      <c r="B47" s="1">
        <v>1.6979166666666667</v>
      </c>
      <c r="C47">
        <v>0</v>
      </c>
      <c r="D47">
        <v>0</v>
      </c>
      <c r="E47">
        <f t="shared" si="0"/>
        <v>0</v>
      </c>
    </row>
    <row r="48" spans="1:5" x14ac:dyDescent="0.25">
      <c r="A48">
        <v>2446</v>
      </c>
      <c r="B48" s="1">
        <v>1.6986111111111111</v>
      </c>
      <c r="C48">
        <v>0</v>
      </c>
      <c r="D48">
        <v>0</v>
      </c>
      <c r="E48">
        <f t="shared" si="0"/>
        <v>0</v>
      </c>
    </row>
    <row r="49" spans="1:5" x14ac:dyDescent="0.25">
      <c r="A49">
        <v>2447</v>
      </c>
      <c r="B49" s="1">
        <v>1.6993055555555556</v>
      </c>
      <c r="C49">
        <v>0</v>
      </c>
      <c r="D49">
        <v>0</v>
      </c>
      <c r="E49">
        <f t="shared" si="0"/>
        <v>0</v>
      </c>
    </row>
    <row r="50" spans="1:5" x14ac:dyDescent="0.25">
      <c r="A50">
        <v>2448</v>
      </c>
      <c r="B50" s="1">
        <v>1.7</v>
      </c>
      <c r="C50">
        <v>0</v>
      </c>
      <c r="D50">
        <v>0</v>
      </c>
      <c r="E50">
        <f t="shared" si="0"/>
        <v>0</v>
      </c>
    </row>
    <row r="51" spans="1:5" x14ac:dyDescent="0.25">
      <c r="A51">
        <v>2449</v>
      </c>
      <c r="B51" s="1">
        <v>1.7006944444444445</v>
      </c>
      <c r="C51">
        <v>0</v>
      </c>
      <c r="D51">
        <v>0</v>
      </c>
      <c r="E51">
        <f t="shared" si="0"/>
        <v>0</v>
      </c>
    </row>
    <row r="52" spans="1:5" x14ac:dyDescent="0.25">
      <c r="A52">
        <v>2450</v>
      </c>
      <c r="B52" s="1">
        <v>1.7013888888888888</v>
      </c>
      <c r="C52">
        <v>0</v>
      </c>
      <c r="D52">
        <v>0</v>
      </c>
      <c r="E52">
        <f t="shared" si="0"/>
        <v>0</v>
      </c>
    </row>
    <row r="53" spans="1:5" x14ac:dyDescent="0.25">
      <c r="A53">
        <v>2451</v>
      </c>
      <c r="B53" s="1">
        <v>1.7020833333333334</v>
      </c>
      <c r="C53">
        <v>0</v>
      </c>
      <c r="D53">
        <v>0</v>
      </c>
      <c r="E53">
        <f t="shared" si="0"/>
        <v>0</v>
      </c>
    </row>
    <row r="54" spans="1:5" x14ac:dyDescent="0.25">
      <c r="A54">
        <v>2452</v>
      </c>
      <c r="B54" s="1">
        <v>1.7027777777777777</v>
      </c>
      <c r="C54">
        <v>0</v>
      </c>
      <c r="D54">
        <v>0</v>
      </c>
      <c r="E54">
        <f t="shared" si="0"/>
        <v>0</v>
      </c>
    </row>
    <row r="55" spans="1:5" x14ac:dyDescent="0.25">
      <c r="A55">
        <v>2453</v>
      </c>
      <c r="B55" s="1">
        <v>1.7034722222222223</v>
      </c>
      <c r="C55">
        <v>0</v>
      </c>
      <c r="D55">
        <v>0</v>
      </c>
      <c r="E55">
        <f t="shared" si="0"/>
        <v>0</v>
      </c>
    </row>
    <row r="56" spans="1:5" x14ac:dyDescent="0.25">
      <c r="A56">
        <v>2454</v>
      </c>
      <c r="B56" s="1">
        <v>1.7041666666666666</v>
      </c>
      <c r="C56">
        <v>0</v>
      </c>
      <c r="D56">
        <v>0</v>
      </c>
      <c r="E56">
        <f t="shared" si="0"/>
        <v>0</v>
      </c>
    </row>
    <row r="57" spans="1:5" x14ac:dyDescent="0.25">
      <c r="A57">
        <v>2455</v>
      </c>
      <c r="B57" s="1">
        <v>1.7048611111111112</v>
      </c>
      <c r="C57">
        <v>0</v>
      </c>
      <c r="D57">
        <v>0</v>
      </c>
      <c r="E57">
        <f t="shared" si="0"/>
        <v>0</v>
      </c>
    </row>
    <row r="58" spans="1:5" x14ac:dyDescent="0.25">
      <c r="A58">
        <v>2456</v>
      </c>
      <c r="B58" s="1">
        <v>1.7055555555555555</v>
      </c>
      <c r="C58">
        <v>0</v>
      </c>
      <c r="D58">
        <v>0</v>
      </c>
      <c r="E58">
        <f t="shared" si="0"/>
        <v>0</v>
      </c>
    </row>
    <row r="59" spans="1:5" x14ac:dyDescent="0.25">
      <c r="A59">
        <v>2457</v>
      </c>
      <c r="B59" s="1">
        <v>1.70625</v>
      </c>
      <c r="C59">
        <v>0</v>
      </c>
      <c r="D59">
        <v>0</v>
      </c>
      <c r="E59">
        <f t="shared" si="0"/>
        <v>0</v>
      </c>
    </row>
    <row r="60" spans="1:5" x14ac:dyDescent="0.25">
      <c r="A60">
        <v>2458</v>
      </c>
      <c r="B60" s="1">
        <v>1.7069444444444444</v>
      </c>
      <c r="C60">
        <v>0</v>
      </c>
      <c r="D60">
        <v>0</v>
      </c>
      <c r="E60">
        <f t="shared" si="0"/>
        <v>0</v>
      </c>
    </row>
    <row r="61" spans="1:5" x14ac:dyDescent="0.25">
      <c r="A61">
        <v>2459</v>
      </c>
      <c r="B61" s="1">
        <v>1.7076388888888889</v>
      </c>
      <c r="C61">
        <v>0</v>
      </c>
      <c r="D61">
        <v>0</v>
      </c>
      <c r="E61">
        <f t="shared" si="0"/>
        <v>0</v>
      </c>
    </row>
    <row r="62" spans="1:5" x14ac:dyDescent="0.25">
      <c r="A62">
        <v>2460</v>
      </c>
      <c r="B62" s="1">
        <v>1.7083333333333333</v>
      </c>
      <c r="C62">
        <v>0</v>
      </c>
      <c r="D62">
        <v>0</v>
      </c>
      <c r="E62">
        <f t="shared" si="0"/>
        <v>0</v>
      </c>
    </row>
    <row r="63" spans="1:5" x14ac:dyDescent="0.25">
      <c r="A63">
        <v>2461</v>
      </c>
      <c r="B63" s="1">
        <v>1.7090277777777778</v>
      </c>
      <c r="C63">
        <v>0</v>
      </c>
      <c r="D63">
        <v>0</v>
      </c>
      <c r="E63">
        <f t="shared" si="0"/>
        <v>0</v>
      </c>
    </row>
    <row r="64" spans="1:5" x14ac:dyDescent="0.25">
      <c r="A64">
        <v>2462</v>
      </c>
      <c r="B64" s="1">
        <v>1.7097222222222221</v>
      </c>
      <c r="C64">
        <v>0</v>
      </c>
      <c r="D64">
        <v>0</v>
      </c>
      <c r="E64">
        <f t="shared" si="0"/>
        <v>0</v>
      </c>
    </row>
    <row r="65" spans="1:5" x14ac:dyDescent="0.25">
      <c r="A65">
        <v>2463</v>
      </c>
      <c r="B65" s="1">
        <v>1.7104166666666667</v>
      </c>
      <c r="C65">
        <v>0</v>
      </c>
      <c r="D65">
        <v>0</v>
      </c>
      <c r="E65">
        <f t="shared" si="0"/>
        <v>0</v>
      </c>
    </row>
    <row r="66" spans="1:5" x14ac:dyDescent="0.25">
      <c r="A66">
        <v>2464</v>
      </c>
      <c r="B66" s="1">
        <v>1.711111111111111</v>
      </c>
      <c r="C66">
        <v>0</v>
      </c>
      <c r="D66">
        <v>0</v>
      </c>
      <c r="E66">
        <f t="shared" si="0"/>
        <v>0</v>
      </c>
    </row>
    <row r="67" spans="1:5" x14ac:dyDescent="0.25">
      <c r="A67">
        <v>2465</v>
      </c>
      <c r="B67" s="1">
        <v>1.7118055555555556</v>
      </c>
      <c r="C67">
        <v>0</v>
      </c>
      <c r="D67">
        <v>0</v>
      </c>
      <c r="E67">
        <f t="shared" ref="E67:E130" si="1">D67*$H$3</f>
        <v>0</v>
      </c>
    </row>
    <row r="68" spans="1:5" x14ac:dyDescent="0.25">
      <c r="A68">
        <v>2466</v>
      </c>
      <c r="B68" s="1">
        <v>1.7124999999999999</v>
      </c>
      <c r="C68">
        <v>0</v>
      </c>
      <c r="D68">
        <v>0</v>
      </c>
      <c r="E68">
        <f t="shared" si="1"/>
        <v>0</v>
      </c>
    </row>
    <row r="69" spans="1:5" x14ac:dyDescent="0.25">
      <c r="A69">
        <v>2467</v>
      </c>
      <c r="B69" s="1">
        <v>1.7131944444444445</v>
      </c>
      <c r="C69">
        <v>0</v>
      </c>
      <c r="D69">
        <v>0</v>
      </c>
      <c r="E69">
        <f t="shared" si="1"/>
        <v>0</v>
      </c>
    </row>
    <row r="70" spans="1:5" x14ac:dyDescent="0.25">
      <c r="A70">
        <v>2468</v>
      </c>
      <c r="B70" s="1">
        <v>1.7138888888888888</v>
      </c>
      <c r="C70">
        <v>0</v>
      </c>
      <c r="D70">
        <v>0</v>
      </c>
      <c r="E70">
        <f t="shared" si="1"/>
        <v>0</v>
      </c>
    </row>
    <row r="71" spans="1:5" x14ac:dyDescent="0.25">
      <c r="A71">
        <v>2469</v>
      </c>
      <c r="B71" s="1">
        <v>1.7145833333333333</v>
      </c>
      <c r="C71">
        <v>0</v>
      </c>
      <c r="D71">
        <v>0</v>
      </c>
      <c r="E71">
        <f t="shared" si="1"/>
        <v>0</v>
      </c>
    </row>
    <row r="72" spans="1:5" x14ac:dyDescent="0.25">
      <c r="A72">
        <v>2470</v>
      </c>
      <c r="B72" s="1">
        <v>1.7152777777777777</v>
      </c>
      <c r="C72">
        <v>0</v>
      </c>
      <c r="D72">
        <v>0</v>
      </c>
      <c r="E72">
        <f t="shared" si="1"/>
        <v>0</v>
      </c>
    </row>
    <row r="73" spans="1:5" x14ac:dyDescent="0.25">
      <c r="A73">
        <v>2471</v>
      </c>
      <c r="B73" s="1">
        <v>1.7159722222222222</v>
      </c>
      <c r="C73">
        <v>0</v>
      </c>
      <c r="D73">
        <v>0</v>
      </c>
      <c r="E73">
        <f t="shared" si="1"/>
        <v>0</v>
      </c>
    </row>
    <row r="74" spans="1:5" x14ac:dyDescent="0.25">
      <c r="A74">
        <v>2472</v>
      </c>
      <c r="B74" s="1">
        <v>1.7166666666666666</v>
      </c>
      <c r="C74">
        <v>0</v>
      </c>
      <c r="D74">
        <v>0</v>
      </c>
      <c r="E74">
        <f t="shared" si="1"/>
        <v>0</v>
      </c>
    </row>
    <row r="75" spans="1:5" x14ac:dyDescent="0.25">
      <c r="A75">
        <v>2473</v>
      </c>
      <c r="B75" s="1">
        <v>1.7173611111111111</v>
      </c>
      <c r="C75">
        <v>0</v>
      </c>
      <c r="D75">
        <v>0</v>
      </c>
      <c r="E75">
        <f t="shared" si="1"/>
        <v>0</v>
      </c>
    </row>
    <row r="76" spans="1:5" x14ac:dyDescent="0.25">
      <c r="A76">
        <v>2474</v>
      </c>
      <c r="B76" s="1">
        <v>1.7180555555555554</v>
      </c>
      <c r="C76">
        <v>0</v>
      </c>
      <c r="D76">
        <v>0</v>
      </c>
      <c r="E76">
        <f t="shared" si="1"/>
        <v>0</v>
      </c>
    </row>
    <row r="77" spans="1:5" x14ac:dyDescent="0.25">
      <c r="A77">
        <v>2475</v>
      </c>
      <c r="B77" s="1">
        <v>1.71875</v>
      </c>
      <c r="C77">
        <v>0</v>
      </c>
      <c r="D77">
        <v>0</v>
      </c>
      <c r="E77">
        <f t="shared" si="1"/>
        <v>0</v>
      </c>
    </row>
    <row r="78" spans="1:5" x14ac:dyDescent="0.25">
      <c r="A78">
        <v>2476</v>
      </c>
      <c r="B78" s="1">
        <v>1.7194444444444446</v>
      </c>
      <c r="C78">
        <v>0</v>
      </c>
      <c r="D78">
        <v>0</v>
      </c>
      <c r="E78">
        <f t="shared" si="1"/>
        <v>0</v>
      </c>
    </row>
    <row r="79" spans="1:5" x14ac:dyDescent="0.25">
      <c r="A79">
        <v>2477</v>
      </c>
      <c r="B79" s="1">
        <v>1.7201388888888889</v>
      </c>
      <c r="C79">
        <v>0</v>
      </c>
      <c r="D79">
        <v>0</v>
      </c>
      <c r="E79">
        <f t="shared" si="1"/>
        <v>0</v>
      </c>
    </row>
    <row r="80" spans="1:5" x14ac:dyDescent="0.25">
      <c r="A80">
        <v>2478</v>
      </c>
      <c r="B80" s="1">
        <v>1.7208333333333334</v>
      </c>
      <c r="C80">
        <v>0</v>
      </c>
      <c r="D80">
        <v>0</v>
      </c>
      <c r="E80">
        <f t="shared" si="1"/>
        <v>0</v>
      </c>
    </row>
    <row r="81" spans="1:5" x14ac:dyDescent="0.25">
      <c r="A81">
        <v>2479</v>
      </c>
      <c r="B81" s="1">
        <v>1.7215277777777778</v>
      </c>
      <c r="C81">
        <v>0</v>
      </c>
      <c r="D81">
        <v>0</v>
      </c>
      <c r="E81">
        <f t="shared" si="1"/>
        <v>0</v>
      </c>
    </row>
    <row r="82" spans="1:5" x14ac:dyDescent="0.25">
      <c r="A82">
        <v>2480</v>
      </c>
      <c r="B82" s="1">
        <v>1.7222222222222223</v>
      </c>
      <c r="C82">
        <v>0</v>
      </c>
      <c r="D82">
        <v>0</v>
      </c>
      <c r="E82">
        <f t="shared" si="1"/>
        <v>0</v>
      </c>
    </row>
    <row r="83" spans="1:5" x14ac:dyDescent="0.25">
      <c r="A83">
        <v>2481</v>
      </c>
      <c r="B83" s="1">
        <v>1.7229166666666667</v>
      </c>
      <c r="C83">
        <v>0</v>
      </c>
      <c r="D83">
        <v>0</v>
      </c>
      <c r="E83">
        <f t="shared" si="1"/>
        <v>0</v>
      </c>
    </row>
    <row r="84" spans="1:5" x14ac:dyDescent="0.25">
      <c r="A84">
        <v>2482</v>
      </c>
      <c r="B84" s="1">
        <v>1.7236111111111112</v>
      </c>
      <c r="C84">
        <v>0</v>
      </c>
      <c r="D84">
        <v>0</v>
      </c>
      <c r="E84">
        <f t="shared" si="1"/>
        <v>0</v>
      </c>
    </row>
    <row r="85" spans="1:5" x14ac:dyDescent="0.25">
      <c r="A85">
        <v>2483</v>
      </c>
      <c r="B85" s="1">
        <v>1.7243055555555555</v>
      </c>
      <c r="C85">
        <v>0</v>
      </c>
      <c r="D85">
        <v>0</v>
      </c>
      <c r="E85">
        <f t="shared" si="1"/>
        <v>0</v>
      </c>
    </row>
    <row r="86" spans="1:5" x14ac:dyDescent="0.25">
      <c r="A86">
        <v>2484</v>
      </c>
      <c r="B86" s="1">
        <v>1.7250000000000001</v>
      </c>
      <c r="C86">
        <v>0</v>
      </c>
      <c r="D86">
        <v>0</v>
      </c>
      <c r="E86">
        <f t="shared" si="1"/>
        <v>0</v>
      </c>
    </row>
    <row r="87" spans="1:5" x14ac:dyDescent="0.25">
      <c r="A87">
        <v>2485</v>
      </c>
      <c r="B87" s="1">
        <v>1.7256944444444444</v>
      </c>
      <c r="C87">
        <v>0</v>
      </c>
      <c r="D87">
        <v>0</v>
      </c>
      <c r="E87">
        <f t="shared" si="1"/>
        <v>0</v>
      </c>
    </row>
    <row r="88" spans="1:5" x14ac:dyDescent="0.25">
      <c r="A88">
        <v>2486</v>
      </c>
      <c r="B88" s="1">
        <v>1.726388888888889</v>
      </c>
      <c r="C88">
        <v>0</v>
      </c>
      <c r="D88">
        <v>0</v>
      </c>
      <c r="E88">
        <f t="shared" si="1"/>
        <v>0</v>
      </c>
    </row>
    <row r="89" spans="1:5" x14ac:dyDescent="0.25">
      <c r="A89">
        <v>2487</v>
      </c>
      <c r="B89" s="1">
        <v>1.7270833333333333</v>
      </c>
      <c r="C89">
        <v>0</v>
      </c>
      <c r="D89">
        <v>0</v>
      </c>
      <c r="E89">
        <f t="shared" si="1"/>
        <v>0</v>
      </c>
    </row>
    <row r="90" spans="1:5" x14ac:dyDescent="0.25">
      <c r="A90">
        <v>2488</v>
      </c>
      <c r="B90" s="1">
        <v>1.7277777777777779</v>
      </c>
      <c r="C90">
        <v>0</v>
      </c>
      <c r="D90">
        <v>0</v>
      </c>
      <c r="E90">
        <f t="shared" si="1"/>
        <v>0</v>
      </c>
    </row>
    <row r="91" spans="1:5" x14ac:dyDescent="0.25">
      <c r="A91">
        <v>2489</v>
      </c>
      <c r="B91" s="1">
        <v>1.7284722222222222</v>
      </c>
      <c r="C91">
        <v>0</v>
      </c>
      <c r="D91">
        <v>0</v>
      </c>
      <c r="E91">
        <f t="shared" si="1"/>
        <v>0</v>
      </c>
    </row>
    <row r="92" spans="1:5" x14ac:dyDescent="0.25">
      <c r="A92">
        <v>2490</v>
      </c>
      <c r="B92" s="1">
        <v>1.7291666666666667</v>
      </c>
      <c r="C92">
        <v>0</v>
      </c>
      <c r="D92">
        <v>0</v>
      </c>
      <c r="E92">
        <f t="shared" si="1"/>
        <v>0</v>
      </c>
    </row>
    <row r="93" spans="1:5" x14ac:dyDescent="0.25">
      <c r="A93">
        <v>2491</v>
      </c>
      <c r="B93" s="1">
        <v>1.7298611111111111</v>
      </c>
      <c r="C93">
        <v>0</v>
      </c>
      <c r="D93">
        <v>0</v>
      </c>
      <c r="E93">
        <f t="shared" si="1"/>
        <v>0</v>
      </c>
    </row>
    <row r="94" spans="1:5" x14ac:dyDescent="0.25">
      <c r="A94">
        <v>2492</v>
      </c>
      <c r="B94" s="1">
        <v>1.7305555555555556</v>
      </c>
      <c r="C94">
        <v>0</v>
      </c>
      <c r="D94">
        <v>0</v>
      </c>
      <c r="E94">
        <f t="shared" si="1"/>
        <v>0</v>
      </c>
    </row>
    <row r="95" spans="1:5" x14ac:dyDescent="0.25">
      <c r="A95">
        <v>2493</v>
      </c>
      <c r="B95" s="1">
        <v>1.73125</v>
      </c>
      <c r="C95">
        <v>0</v>
      </c>
      <c r="D95">
        <v>0</v>
      </c>
      <c r="E95">
        <f t="shared" si="1"/>
        <v>0</v>
      </c>
    </row>
    <row r="96" spans="1:5" x14ac:dyDescent="0.25">
      <c r="A96">
        <v>2494</v>
      </c>
      <c r="B96" s="1">
        <v>1.7319444444444445</v>
      </c>
      <c r="C96">
        <v>0</v>
      </c>
      <c r="D96">
        <v>0</v>
      </c>
      <c r="E96">
        <f t="shared" si="1"/>
        <v>0</v>
      </c>
    </row>
    <row r="97" spans="1:5" x14ac:dyDescent="0.25">
      <c r="A97">
        <v>2495</v>
      </c>
      <c r="B97" s="1">
        <v>1.7326388888888888</v>
      </c>
      <c r="C97">
        <v>0</v>
      </c>
      <c r="D97">
        <v>0</v>
      </c>
      <c r="E97">
        <f t="shared" si="1"/>
        <v>0</v>
      </c>
    </row>
    <row r="98" spans="1:5" x14ac:dyDescent="0.25">
      <c r="A98">
        <v>2496</v>
      </c>
      <c r="B98" s="1">
        <v>1.7333333333333334</v>
      </c>
      <c r="C98">
        <v>0</v>
      </c>
      <c r="D98">
        <v>0</v>
      </c>
      <c r="E98">
        <f t="shared" si="1"/>
        <v>0</v>
      </c>
    </row>
    <row r="99" spans="1:5" x14ac:dyDescent="0.25">
      <c r="A99">
        <v>2497</v>
      </c>
      <c r="B99" s="1">
        <v>1.7340277777777777</v>
      </c>
      <c r="C99">
        <v>0</v>
      </c>
      <c r="D99">
        <v>0</v>
      </c>
      <c r="E99">
        <f t="shared" si="1"/>
        <v>0</v>
      </c>
    </row>
    <row r="100" spans="1:5" x14ac:dyDescent="0.25">
      <c r="A100">
        <v>2498</v>
      </c>
      <c r="B100" s="1">
        <v>1.7347222222222223</v>
      </c>
      <c r="C100">
        <v>0</v>
      </c>
      <c r="D100">
        <v>0</v>
      </c>
      <c r="E100">
        <f t="shared" si="1"/>
        <v>0</v>
      </c>
    </row>
    <row r="101" spans="1:5" x14ac:dyDescent="0.25">
      <c r="A101">
        <v>2499</v>
      </c>
      <c r="B101" s="1">
        <v>1.7354166666666666</v>
      </c>
      <c r="C101">
        <v>0</v>
      </c>
      <c r="D101">
        <v>0</v>
      </c>
      <c r="E101">
        <f t="shared" si="1"/>
        <v>0</v>
      </c>
    </row>
    <row r="102" spans="1:5" x14ac:dyDescent="0.25">
      <c r="A102">
        <v>2500</v>
      </c>
      <c r="B102" s="1">
        <v>1.7361111111111112</v>
      </c>
      <c r="C102">
        <v>0</v>
      </c>
      <c r="D102">
        <v>0</v>
      </c>
      <c r="E102">
        <f t="shared" si="1"/>
        <v>0</v>
      </c>
    </row>
    <row r="103" spans="1:5" x14ac:dyDescent="0.25">
      <c r="A103">
        <v>2501</v>
      </c>
      <c r="B103" s="1">
        <v>1.7368055555555555</v>
      </c>
      <c r="C103">
        <v>0</v>
      </c>
      <c r="D103">
        <v>0</v>
      </c>
      <c r="E103">
        <f t="shared" si="1"/>
        <v>0</v>
      </c>
    </row>
    <row r="104" spans="1:5" x14ac:dyDescent="0.25">
      <c r="A104">
        <v>2502</v>
      </c>
      <c r="B104" s="1">
        <v>1.7375</v>
      </c>
      <c r="C104">
        <v>0</v>
      </c>
      <c r="D104">
        <v>0</v>
      </c>
      <c r="E104">
        <f t="shared" si="1"/>
        <v>0</v>
      </c>
    </row>
    <row r="105" spans="1:5" x14ac:dyDescent="0.25">
      <c r="A105">
        <v>2503</v>
      </c>
      <c r="B105" s="1">
        <v>1.7381944444444444</v>
      </c>
      <c r="C105">
        <v>0</v>
      </c>
      <c r="D105">
        <v>0</v>
      </c>
      <c r="E105">
        <f t="shared" si="1"/>
        <v>0</v>
      </c>
    </row>
    <row r="106" spans="1:5" x14ac:dyDescent="0.25">
      <c r="A106">
        <v>2504</v>
      </c>
      <c r="B106" s="1">
        <v>1.7388888888888889</v>
      </c>
      <c r="C106">
        <v>0</v>
      </c>
      <c r="D106">
        <v>0</v>
      </c>
      <c r="E106">
        <f t="shared" si="1"/>
        <v>0</v>
      </c>
    </row>
    <row r="107" spans="1:5" x14ac:dyDescent="0.25">
      <c r="A107">
        <v>2505</v>
      </c>
      <c r="B107" s="1">
        <v>1.7395833333333333</v>
      </c>
      <c r="C107">
        <v>0</v>
      </c>
      <c r="D107">
        <v>0</v>
      </c>
      <c r="E107">
        <f t="shared" si="1"/>
        <v>0</v>
      </c>
    </row>
    <row r="108" spans="1:5" x14ac:dyDescent="0.25">
      <c r="A108">
        <v>2506</v>
      </c>
      <c r="B108" s="1">
        <v>1.7402777777777778</v>
      </c>
      <c r="C108">
        <v>0</v>
      </c>
      <c r="D108">
        <v>0</v>
      </c>
      <c r="E108">
        <f t="shared" si="1"/>
        <v>0</v>
      </c>
    </row>
    <row r="109" spans="1:5" x14ac:dyDescent="0.25">
      <c r="A109">
        <v>2507</v>
      </c>
      <c r="B109" s="1">
        <v>1.7409722222222221</v>
      </c>
      <c r="C109">
        <v>0</v>
      </c>
      <c r="D109">
        <v>0</v>
      </c>
      <c r="E109">
        <f t="shared" si="1"/>
        <v>0</v>
      </c>
    </row>
    <row r="110" spans="1:5" x14ac:dyDescent="0.25">
      <c r="A110">
        <v>2508</v>
      </c>
      <c r="B110" s="1">
        <v>1.7416666666666667</v>
      </c>
      <c r="C110">
        <v>0</v>
      </c>
      <c r="D110">
        <v>0</v>
      </c>
      <c r="E110">
        <f t="shared" si="1"/>
        <v>0</v>
      </c>
    </row>
    <row r="111" spans="1:5" x14ac:dyDescent="0.25">
      <c r="A111">
        <v>2509</v>
      </c>
      <c r="B111" s="1">
        <v>1.742361111111111</v>
      </c>
      <c r="C111">
        <v>0</v>
      </c>
      <c r="D111">
        <v>0</v>
      </c>
      <c r="E111">
        <f t="shared" si="1"/>
        <v>0</v>
      </c>
    </row>
    <row r="112" spans="1:5" x14ac:dyDescent="0.25">
      <c r="A112">
        <v>2510</v>
      </c>
      <c r="B112" s="1">
        <v>1.7430555555555556</v>
      </c>
      <c r="C112">
        <v>0</v>
      </c>
      <c r="D112">
        <v>0</v>
      </c>
      <c r="E112">
        <f t="shared" si="1"/>
        <v>0</v>
      </c>
    </row>
    <row r="113" spans="1:5" x14ac:dyDescent="0.25">
      <c r="A113">
        <v>2511</v>
      </c>
      <c r="B113" s="1">
        <v>1.7437499999999999</v>
      </c>
      <c r="C113">
        <v>0</v>
      </c>
      <c r="D113">
        <v>0</v>
      </c>
      <c r="E113">
        <f t="shared" si="1"/>
        <v>0</v>
      </c>
    </row>
    <row r="114" spans="1:5" x14ac:dyDescent="0.25">
      <c r="A114">
        <v>2512</v>
      </c>
      <c r="B114" s="1">
        <v>1.7444444444444445</v>
      </c>
      <c r="C114">
        <v>0</v>
      </c>
      <c r="D114">
        <v>0</v>
      </c>
      <c r="E114">
        <f t="shared" si="1"/>
        <v>0</v>
      </c>
    </row>
    <row r="115" spans="1:5" x14ac:dyDescent="0.25">
      <c r="A115">
        <v>2513</v>
      </c>
      <c r="B115" s="1">
        <v>1.7451388888888888</v>
      </c>
      <c r="C115">
        <v>0</v>
      </c>
      <c r="D115">
        <v>0</v>
      </c>
      <c r="E115">
        <f t="shared" si="1"/>
        <v>0</v>
      </c>
    </row>
    <row r="116" spans="1:5" x14ac:dyDescent="0.25">
      <c r="A116">
        <v>2514</v>
      </c>
      <c r="B116" s="1">
        <v>1.7458333333333333</v>
      </c>
      <c r="C116">
        <v>0</v>
      </c>
      <c r="D116">
        <v>0</v>
      </c>
      <c r="E116">
        <f t="shared" si="1"/>
        <v>0</v>
      </c>
    </row>
    <row r="117" spans="1:5" x14ac:dyDescent="0.25">
      <c r="A117">
        <v>2515</v>
      </c>
      <c r="B117" s="1">
        <v>1.7465277777777777</v>
      </c>
      <c r="C117">
        <v>0</v>
      </c>
      <c r="D117">
        <v>0</v>
      </c>
      <c r="E117">
        <f t="shared" si="1"/>
        <v>0</v>
      </c>
    </row>
    <row r="118" spans="1:5" x14ac:dyDescent="0.25">
      <c r="A118">
        <v>2516</v>
      </c>
      <c r="B118" s="1">
        <v>1.7472222222222222</v>
      </c>
      <c r="C118">
        <v>0</v>
      </c>
      <c r="D118">
        <v>0</v>
      </c>
      <c r="E118">
        <f t="shared" si="1"/>
        <v>0</v>
      </c>
    </row>
    <row r="119" spans="1:5" x14ac:dyDescent="0.25">
      <c r="A119">
        <v>2517</v>
      </c>
      <c r="B119" s="1">
        <v>1.7479166666666666</v>
      </c>
      <c r="C119">
        <v>0</v>
      </c>
      <c r="D119">
        <v>0</v>
      </c>
      <c r="E119">
        <f t="shared" si="1"/>
        <v>0</v>
      </c>
    </row>
    <row r="120" spans="1:5" x14ac:dyDescent="0.25">
      <c r="A120">
        <v>2518</v>
      </c>
      <c r="B120" s="1">
        <v>1.7486111111111111</v>
      </c>
      <c r="C120">
        <v>0</v>
      </c>
      <c r="D120">
        <v>0</v>
      </c>
      <c r="E120">
        <f t="shared" si="1"/>
        <v>0</v>
      </c>
    </row>
    <row r="121" spans="1:5" x14ac:dyDescent="0.25">
      <c r="A121">
        <v>2519</v>
      </c>
      <c r="B121" s="1">
        <v>1.7493055555555554</v>
      </c>
      <c r="C121">
        <v>0</v>
      </c>
      <c r="D121">
        <v>0</v>
      </c>
      <c r="E121">
        <f t="shared" si="1"/>
        <v>0</v>
      </c>
    </row>
    <row r="122" spans="1:5" x14ac:dyDescent="0.25">
      <c r="A122">
        <v>2520</v>
      </c>
      <c r="B122" s="1">
        <v>1.75</v>
      </c>
      <c r="C122">
        <v>0</v>
      </c>
      <c r="D122">
        <v>0</v>
      </c>
      <c r="E122">
        <f t="shared" si="1"/>
        <v>0</v>
      </c>
    </row>
    <row r="123" spans="1:5" x14ac:dyDescent="0.25">
      <c r="A123">
        <v>2521</v>
      </c>
      <c r="B123" s="1">
        <v>1.7506944444444446</v>
      </c>
      <c r="C123">
        <v>0</v>
      </c>
      <c r="D123">
        <v>0</v>
      </c>
      <c r="E123">
        <f t="shared" si="1"/>
        <v>0</v>
      </c>
    </row>
    <row r="124" spans="1:5" x14ac:dyDescent="0.25">
      <c r="A124">
        <v>2522</v>
      </c>
      <c r="B124" s="1">
        <v>1.7513888888888889</v>
      </c>
      <c r="C124">
        <v>0</v>
      </c>
      <c r="D124">
        <v>0</v>
      </c>
      <c r="E124">
        <f t="shared" si="1"/>
        <v>0</v>
      </c>
    </row>
    <row r="125" spans="1:5" x14ac:dyDescent="0.25">
      <c r="A125">
        <v>2523</v>
      </c>
      <c r="B125" s="1">
        <v>1.7520833333333334</v>
      </c>
      <c r="C125">
        <v>0</v>
      </c>
      <c r="D125">
        <v>0</v>
      </c>
      <c r="E125">
        <f t="shared" si="1"/>
        <v>0</v>
      </c>
    </row>
    <row r="126" spans="1:5" x14ac:dyDescent="0.25">
      <c r="A126">
        <v>2524</v>
      </c>
      <c r="B126" s="1">
        <v>1.7527777777777778</v>
      </c>
      <c r="C126">
        <v>0</v>
      </c>
      <c r="D126">
        <v>0</v>
      </c>
      <c r="E126">
        <f t="shared" si="1"/>
        <v>0</v>
      </c>
    </row>
    <row r="127" spans="1:5" x14ac:dyDescent="0.25">
      <c r="A127">
        <v>2525</v>
      </c>
      <c r="B127" s="1">
        <v>1.7534722222222223</v>
      </c>
      <c r="C127">
        <v>0</v>
      </c>
      <c r="D127">
        <v>0</v>
      </c>
      <c r="E127">
        <f t="shared" si="1"/>
        <v>0</v>
      </c>
    </row>
    <row r="128" spans="1:5" x14ac:dyDescent="0.25">
      <c r="A128">
        <v>2526</v>
      </c>
      <c r="B128" s="1">
        <v>1.7541666666666667</v>
      </c>
      <c r="C128">
        <v>0</v>
      </c>
      <c r="D128">
        <v>0</v>
      </c>
      <c r="E128">
        <f t="shared" si="1"/>
        <v>0</v>
      </c>
    </row>
    <row r="129" spans="1:5" x14ac:dyDescent="0.25">
      <c r="A129">
        <v>2527</v>
      </c>
      <c r="B129" s="1">
        <v>1.7548611111111112</v>
      </c>
      <c r="C129">
        <v>0</v>
      </c>
      <c r="D129">
        <v>0</v>
      </c>
      <c r="E129">
        <f t="shared" si="1"/>
        <v>0</v>
      </c>
    </row>
    <row r="130" spans="1:5" x14ac:dyDescent="0.25">
      <c r="A130">
        <v>2528</v>
      </c>
      <c r="B130" s="1">
        <v>1.7555555555555555</v>
      </c>
      <c r="C130">
        <v>0</v>
      </c>
      <c r="D130">
        <v>0</v>
      </c>
      <c r="E130">
        <f t="shared" si="1"/>
        <v>0</v>
      </c>
    </row>
    <row r="131" spans="1:5" x14ac:dyDescent="0.25">
      <c r="A131">
        <v>2529</v>
      </c>
      <c r="B131" s="1">
        <v>1.7562500000000001</v>
      </c>
      <c r="C131">
        <v>0</v>
      </c>
      <c r="D131">
        <v>0</v>
      </c>
      <c r="E131">
        <f t="shared" ref="E131:E194" si="2">D131*$H$3</f>
        <v>0</v>
      </c>
    </row>
    <row r="132" spans="1:5" x14ac:dyDescent="0.25">
      <c r="A132">
        <v>2530</v>
      </c>
      <c r="B132" s="1">
        <v>1.7569444444444444</v>
      </c>
      <c r="C132">
        <v>0</v>
      </c>
      <c r="D132">
        <v>0</v>
      </c>
      <c r="E132">
        <f t="shared" si="2"/>
        <v>0</v>
      </c>
    </row>
    <row r="133" spans="1:5" x14ac:dyDescent="0.25">
      <c r="A133">
        <v>2531</v>
      </c>
      <c r="B133" s="1">
        <v>1.757638888888889</v>
      </c>
      <c r="C133">
        <v>0</v>
      </c>
      <c r="D133">
        <v>0</v>
      </c>
      <c r="E133">
        <f t="shared" si="2"/>
        <v>0</v>
      </c>
    </row>
    <row r="134" spans="1:5" x14ac:dyDescent="0.25">
      <c r="A134">
        <v>2532</v>
      </c>
      <c r="B134" s="1">
        <v>1.7583333333333333</v>
      </c>
      <c r="C134">
        <v>0</v>
      </c>
      <c r="D134">
        <v>0</v>
      </c>
      <c r="E134">
        <f t="shared" si="2"/>
        <v>0</v>
      </c>
    </row>
    <row r="135" spans="1:5" x14ac:dyDescent="0.25">
      <c r="A135">
        <v>2533</v>
      </c>
      <c r="B135" s="1">
        <v>1.7590277777777779</v>
      </c>
      <c r="C135">
        <v>0</v>
      </c>
      <c r="D135">
        <v>0</v>
      </c>
      <c r="E135">
        <f t="shared" si="2"/>
        <v>0</v>
      </c>
    </row>
    <row r="136" spans="1:5" x14ac:dyDescent="0.25">
      <c r="A136">
        <v>2534</v>
      </c>
      <c r="B136" s="1">
        <v>1.7597222222222222</v>
      </c>
      <c r="C136">
        <v>0</v>
      </c>
      <c r="D136">
        <v>0</v>
      </c>
      <c r="E136">
        <f t="shared" si="2"/>
        <v>0</v>
      </c>
    </row>
    <row r="137" spans="1:5" x14ac:dyDescent="0.25">
      <c r="A137">
        <v>2535</v>
      </c>
      <c r="B137" s="1">
        <v>1.7604166666666667</v>
      </c>
      <c r="C137">
        <v>0</v>
      </c>
      <c r="D137">
        <v>0</v>
      </c>
      <c r="E137">
        <f t="shared" si="2"/>
        <v>0</v>
      </c>
    </row>
    <row r="138" spans="1:5" x14ac:dyDescent="0.25">
      <c r="A138">
        <v>2536</v>
      </c>
      <c r="B138" s="1">
        <v>1.7611111111111111</v>
      </c>
      <c r="C138">
        <v>0</v>
      </c>
      <c r="D138">
        <v>0</v>
      </c>
      <c r="E138">
        <f t="shared" si="2"/>
        <v>0</v>
      </c>
    </row>
    <row r="139" spans="1:5" x14ac:dyDescent="0.25">
      <c r="A139">
        <v>2537</v>
      </c>
      <c r="B139" s="1">
        <v>1.7618055555555556</v>
      </c>
      <c r="C139">
        <v>0</v>
      </c>
      <c r="D139">
        <v>0</v>
      </c>
      <c r="E139">
        <f t="shared" si="2"/>
        <v>0</v>
      </c>
    </row>
    <row r="140" spans="1:5" x14ac:dyDescent="0.25">
      <c r="A140">
        <v>2538</v>
      </c>
      <c r="B140" s="1">
        <v>1.7625</v>
      </c>
      <c r="C140">
        <v>0</v>
      </c>
      <c r="D140">
        <v>0</v>
      </c>
      <c r="E140">
        <f t="shared" si="2"/>
        <v>0</v>
      </c>
    </row>
    <row r="141" spans="1:5" x14ac:dyDescent="0.25">
      <c r="A141">
        <v>2539</v>
      </c>
      <c r="B141" s="1">
        <v>1.7631944444444445</v>
      </c>
      <c r="C141">
        <v>0</v>
      </c>
      <c r="D141">
        <v>0</v>
      </c>
      <c r="E141">
        <f t="shared" si="2"/>
        <v>0</v>
      </c>
    </row>
    <row r="142" spans="1:5" x14ac:dyDescent="0.25">
      <c r="A142">
        <v>2540</v>
      </c>
      <c r="B142" s="1">
        <v>1.7638888888888888</v>
      </c>
      <c r="C142">
        <v>0</v>
      </c>
      <c r="D142">
        <v>0</v>
      </c>
      <c r="E142">
        <f t="shared" si="2"/>
        <v>0</v>
      </c>
    </row>
    <row r="143" spans="1:5" x14ac:dyDescent="0.25">
      <c r="A143">
        <v>2541</v>
      </c>
      <c r="B143" s="1">
        <v>1.7645833333333334</v>
      </c>
      <c r="C143">
        <v>0</v>
      </c>
      <c r="D143">
        <v>0</v>
      </c>
      <c r="E143">
        <f t="shared" si="2"/>
        <v>0</v>
      </c>
    </row>
    <row r="144" spans="1:5" x14ac:dyDescent="0.25">
      <c r="A144">
        <v>2542</v>
      </c>
      <c r="B144" s="1">
        <v>1.7652777777777777</v>
      </c>
      <c r="C144">
        <v>0</v>
      </c>
      <c r="D144">
        <v>0</v>
      </c>
      <c r="E144">
        <f t="shared" si="2"/>
        <v>0</v>
      </c>
    </row>
    <row r="145" spans="1:5" x14ac:dyDescent="0.25">
      <c r="A145">
        <v>2543</v>
      </c>
      <c r="B145" s="1">
        <v>1.7659722222222223</v>
      </c>
      <c r="C145">
        <v>0</v>
      </c>
      <c r="D145">
        <v>0</v>
      </c>
      <c r="E145">
        <f t="shared" si="2"/>
        <v>0</v>
      </c>
    </row>
    <row r="146" spans="1:5" x14ac:dyDescent="0.25">
      <c r="A146">
        <v>2544</v>
      </c>
      <c r="B146" s="1">
        <v>1.7666666666666666</v>
      </c>
      <c r="C146">
        <v>0</v>
      </c>
      <c r="D146">
        <v>0</v>
      </c>
      <c r="E146">
        <f t="shared" si="2"/>
        <v>0</v>
      </c>
    </row>
    <row r="147" spans="1:5" x14ac:dyDescent="0.25">
      <c r="A147">
        <v>2545</v>
      </c>
      <c r="B147" s="1">
        <v>1.7673611111111112</v>
      </c>
      <c r="C147">
        <v>0</v>
      </c>
      <c r="D147">
        <v>0</v>
      </c>
      <c r="E147">
        <f t="shared" si="2"/>
        <v>0</v>
      </c>
    </row>
    <row r="148" spans="1:5" x14ac:dyDescent="0.25">
      <c r="A148">
        <v>2546</v>
      </c>
      <c r="B148" s="1">
        <v>1.7680555555555555</v>
      </c>
      <c r="C148">
        <v>0</v>
      </c>
      <c r="D148">
        <v>0</v>
      </c>
      <c r="E148">
        <f t="shared" si="2"/>
        <v>0</v>
      </c>
    </row>
    <row r="149" spans="1:5" x14ac:dyDescent="0.25">
      <c r="A149">
        <v>2547</v>
      </c>
      <c r="B149" s="1">
        <v>1.76875</v>
      </c>
      <c r="C149">
        <v>0</v>
      </c>
      <c r="D149">
        <v>0</v>
      </c>
      <c r="E149">
        <f t="shared" si="2"/>
        <v>0</v>
      </c>
    </row>
    <row r="150" spans="1:5" x14ac:dyDescent="0.25">
      <c r="A150">
        <v>2548</v>
      </c>
      <c r="B150" s="1">
        <v>1.7694444444444444</v>
      </c>
      <c r="C150">
        <v>0</v>
      </c>
      <c r="D150">
        <v>0</v>
      </c>
      <c r="E150">
        <f t="shared" si="2"/>
        <v>0</v>
      </c>
    </row>
    <row r="151" spans="1:5" x14ac:dyDescent="0.25">
      <c r="A151">
        <v>2549</v>
      </c>
      <c r="B151" s="1">
        <v>1.7701388888888889</v>
      </c>
      <c r="C151">
        <v>0</v>
      </c>
      <c r="D151">
        <v>0</v>
      </c>
      <c r="E151">
        <f t="shared" si="2"/>
        <v>0</v>
      </c>
    </row>
    <row r="152" spans="1:5" x14ac:dyDescent="0.25">
      <c r="A152">
        <v>2550</v>
      </c>
      <c r="B152" s="1">
        <v>1.7708333333333333</v>
      </c>
      <c r="C152">
        <v>0</v>
      </c>
      <c r="D152">
        <v>0</v>
      </c>
      <c r="E152">
        <f t="shared" si="2"/>
        <v>0</v>
      </c>
    </row>
    <row r="153" spans="1:5" x14ac:dyDescent="0.25">
      <c r="A153">
        <v>2551</v>
      </c>
      <c r="B153" s="1">
        <v>1.7715277777777778</v>
      </c>
      <c r="C153">
        <v>0</v>
      </c>
      <c r="D153">
        <v>0</v>
      </c>
      <c r="E153">
        <f t="shared" si="2"/>
        <v>0</v>
      </c>
    </row>
    <row r="154" spans="1:5" x14ac:dyDescent="0.25">
      <c r="A154">
        <v>2552</v>
      </c>
      <c r="B154" s="1">
        <v>1.7722222222222221</v>
      </c>
      <c r="C154">
        <v>0</v>
      </c>
      <c r="D154">
        <v>0</v>
      </c>
      <c r="E154">
        <f t="shared" si="2"/>
        <v>0</v>
      </c>
    </row>
    <row r="155" spans="1:5" x14ac:dyDescent="0.25">
      <c r="A155">
        <v>2553</v>
      </c>
      <c r="B155" s="1">
        <v>1.7729166666666667</v>
      </c>
      <c r="C155">
        <v>0</v>
      </c>
      <c r="D155">
        <v>0</v>
      </c>
      <c r="E155">
        <f t="shared" si="2"/>
        <v>0</v>
      </c>
    </row>
    <row r="156" spans="1:5" x14ac:dyDescent="0.25">
      <c r="A156">
        <v>2554</v>
      </c>
      <c r="B156" s="1">
        <v>1.773611111111111</v>
      </c>
      <c r="C156">
        <v>0</v>
      </c>
      <c r="D156">
        <v>0</v>
      </c>
      <c r="E156">
        <f t="shared" si="2"/>
        <v>0</v>
      </c>
    </row>
    <row r="157" spans="1:5" x14ac:dyDescent="0.25">
      <c r="A157">
        <v>2555</v>
      </c>
      <c r="B157" s="1">
        <v>1.7743055555555556</v>
      </c>
      <c r="C157">
        <v>0</v>
      </c>
      <c r="D157">
        <v>0</v>
      </c>
      <c r="E157">
        <f t="shared" si="2"/>
        <v>0</v>
      </c>
    </row>
    <row r="158" spans="1:5" x14ac:dyDescent="0.25">
      <c r="A158">
        <v>2556</v>
      </c>
      <c r="B158" s="1">
        <v>1.7749999999999999</v>
      </c>
      <c r="C158">
        <v>0</v>
      </c>
      <c r="D158">
        <v>0</v>
      </c>
      <c r="E158">
        <f t="shared" si="2"/>
        <v>0</v>
      </c>
    </row>
    <row r="159" spans="1:5" x14ac:dyDescent="0.25">
      <c r="A159">
        <v>2557</v>
      </c>
      <c r="B159" s="1">
        <v>1.7756944444444445</v>
      </c>
      <c r="C159">
        <v>0</v>
      </c>
      <c r="D159">
        <v>0</v>
      </c>
      <c r="E159">
        <f t="shared" si="2"/>
        <v>0</v>
      </c>
    </row>
    <row r="160" spans="1:5" x14ac:dyDescent="0.25">
      <c r="A160">
        <v>2558</v>
      </c>
      <c r="B160" s="1">
        <v>1.7763888888888888</v>
      </c>
      <c r="C160">
        <v>0</v>
      </c>
      <c r="D160">
        <v>0</v>
      </c>
      <c r="E160">
        <f t="shared" si="2"/>
        <v>0</v>
      </c>
    </row>
    <row r="161" spans="1:5" x14ac:dyDescent="0.25">
      <c r="A161">
        <v>2559</v>
      </c>
      <c r="B161" s="1">
        <v>1.7770833333333333</v>
      </c>
      <c r="C161">
        <v>0</v>
      </c>
      <c r="D161">
        <v>0</v>
      </c>
      <c r="E161">
        <f t="shared" si="2"/>
        <v>0</v>
      </c>
    </row>
    <row r="162" spans="1:5" x14ac:dyDescent="0.25">
      <c r="A162">
        <v>2560</v>
      </c>
      <c r="B162" s="1">
        <v>1.7777777777777777</v>
      </c>
      <c r="C162">
        <v>0</v>
      </c>
      <c r="D162">
        <v>0</v>
      </c>
      <c r="E162">
        <f t="shared" si="2"/>
        <v>0</v>
      </c>
    </row>
    <row r="163" spans="1:5" x14ac:dyDescent="0.25">
      <c r="A163">
        <v>2561</v>
      </c>
      <c r="B163" s="1">
        <v>1.7784722222222222</v>
      </c>
      <c r="C163">
        <v>0</v>
      </c>
      <c r="D163">
        <v>0</v>
      </c>
      <c r="E163">
        <f t="shared" si="2"/>
        <v>0</v>
      </c>
    </row>
    <row r="164" spans="1:5" x14ac:dyDescent="0.25">
      <c r="A164">
        <v>2562</v>
      </c>
      <c r="B164" s="1">
        <v>1.7791666666666666</v>
      </c>
      <c r="C164">
        <v>0</v>
      </c>
      <c r="D164">
        <v>0</v>
      </c>
      <c r="E164">
        <f t="shared" si="2"/>
        <v>0</v>
      </c>
    </row>
    <row r="165" spans="1:5" x14ac:dyDescent="0.25">
      <c r="A165">
        <v>2563</v>
      </c>
      <c r="B165" s="1">
        <v>1.7798611111111111</v>
      </c>
      <c r="C165">
        <v>0</v>
      </c>
      <c r="D165">
        <v>0</v>
      </c>
      <c r="E165">
        <f t="shared" si="2"/>
        <v>0</v>
      </c>
    </row>
    <row r="166" spans="1:5" x14ac:dyDescent="0.25">
      <c r="A166">
        <v>2564</v>
      </c>
      <c r="B166" s="1">
        <v>1.7805555555555554</v>
      </c>
      <c r="C166">
        <v>0</v>
      </c>
      <c r="D166">
        <v>0</v>
      </c>
      <c r="E166">
        <f t="shared" si="2"/>
        <v>0</v>
      </c>
    </row>
    <row r="167" spans="1:5" x14ac:dyDescent="0.25">
      <c r="A167">
        <v>2565</v>
      </c>
      <c r="B167" s="1">
        <v>1.78125</v>
      </c>
      <c r="C167">
        <v>0</v>
      </c>
      <c r="D167">
        <v>0</v>
      </c>
      <c r="E167">
        <f t="shared" si="2"/>
        <v>0</v>
      </c>
    </row>
    <row r="168" spans="1:5" x14ac:dyDescent="0.25">
      <c r="A168">
        <v>2566</v>
      </c>
      <c r="B168" s="1">
        <v>1.7819444444444446</v>
      </c>
      <c r="C168">
        <v>0</v>
      </c>
      <c r="D168">
        <v>0</v>
      </c>
      <c r="E168">
        <f t="shared" si="2"/>
        <v>0</v>
      </c>
    </row>
    <row r="169" spans="1:5" x14ac:dyDescent="0.25">
      <c r="A169">
        <v>2567</v>
      </c>
      <c r="B169" s="1">
        <v>1.7826388888888889</v>
      </c>
      <c r="C169">
        <v>0</v>
      </c>
      <c r="D169">
        <v>0</v>
      </c>
      <c r="E169">
        <f t="shared" si="2"/>
        <v>0</v>
      </c>
    </row>
    <row r="170" spans="1:5" x14ac:dyDescent="0.25">
      <c r="A170">
        <v>2568</v>
      </c>
      <c r="B170" s="1">
        <v>1.7833333333333334</v>
      </c>
      <c r="C170">
        <v>0</v>
      </c>
      <c r="D170">
        <v>0</v>
      </c>
      <c r="E170">
        <f t="shared" si="2"/>
        <v>0</v>
      </c>
    </row>
    <row r="171" spans="1:5" x14ac:dyDescent="0.25">
      <c r="A171">
        <v>2569</v>
      </c>
      <c r="B171" s="1">
        <v>1.7840277777777778</v>
      </c>
      <c r="C171">
        <v>0</v>
      </c>
      <c r="D171">
        <v>0</v>
      </c>
      <c r="E171">
        <f t="shared" si="2"/>
        <v>0</v>
      </c>
    </row>
    <row r="172" spans="1:5" x14ac:dyDescent="0.25">
      <c r="A172">
        <v>2570</v>
      </c>
      <c r="B172" s="1">
        <v>1.7847222222222223</v>
      </c>
      <c r="C172">
        <v>0</v>
      </c>
      <c r="D172">
        <v>0</v>
      </c>
      <c r="E172">
        <f t="shared" si="2"/>
        <v>0</v>
      </c>
    </row>
    <row r="173" spans="1:5" x14ac:dyDescent="0.25">
      <c r="A173">
        <v>2571</v>
      </c>
      <c r="B173" s="1">
        <v>1.7854166666666667</v>
      </c>
      <c r="C173">
        <v>0</v>
      </c>
      <c r="D173">
        <v>0</v>
      </c>
      <c r="E173">
        <f t="shared" si="2"/>
        <v>0</v>
      </c>
    </row>
    <row r="174" spans="1:5" x14ac:dyDescent="0.25">
      <c r="A174">
        <v>2572</v>
      </c>
      <c r="B174" s="1">
        <v>1.7861111111111112</v>
      </c>
      <c r="C174">
        <v>0</v>
      </c>
      <c r="D174">
        <v>0</v>
      </c>
      <c r="E174">
        <f t="shared" si="2"/>
        <v>0</v>
      </c>
    </row>
    <row r="175" spans="1:5" x14ac:dyDescent="0.25">
      <c r="A175">
        <v>2573</v>
      </c>
      <c r="B175" s="1">
        <v>1.7868055555555555</v>
      </c>
      <c r="C175">
        <v>0</v>
      </c>
      <c r="D175">
        <v>0</v>
      </c>
      <c r="E175">
        <f t="shared" si="2"/>
        <v>0</v>
      </c>
    </row>
    <row r="176" spans="1:5" x14ac:dyDescent="0.25">
      <c r="A176">
        <v>2574</v>
      </c>
      <c r="B176" s="1">
        <v>1.7875000000000001</v>
      </c>
      <c r="C176">
        <v>0</v>
      </c>
      <c r="D176">
        <v>0</v>
      </c>
      <c r="E176">
        <f t="shared" si="2"/>
        <v>0</v>
      </c>
    </row>
    <row r="177" spans="1:5" x14ac:dyDescent="0.25">
      <c r="A177">
        <v>2575</v>
      </c>
      <c r="B177" s="1">
        <v>1.7881944444444444</v>
      </c>
      <c r="C177">
        <v>0</v>
      </c>
      <c r="D177">
        <v>0</v>
      </c>
      <c r="E177">
        <f t="shared" si="2"/>
        <v>0</v>
      </c>
    </row>
    <row r="178" spans="1:5" x14ac:dyDescent="0.25">
      <c r="A178">
        <v>2576</v>
      </c>
      <c r="B178" s="1">
        <v>1.788888888888889</v>
      </c>
      <c r="C178">
        <v>0</v>
      </c>
      <c r="D178">
        <v>0</v>
      </c>
      <c r="E178">
        <f t="shared" si="2"/>
        <v>0</v>
      </c>
    </row>
    <row r="179" spans="1:5" x14ac:dyDescent="0.25">
      <c r="A179">
        <v>2577</v>
      </c>
      <c r="B179" s="1">
        <v>1.7895833333333333</v>
      </c>
      <c r="C179">
        <v>0</v>
      </c>
      <c r="D179">
        <v>0</v>
      </c>
      <c r="E179">
        <f t="shared" si="2"/>
        <v>0</v>
      </c>
    </row>
    <row r="180" spans="1:5" x14ac:dyDescent="0.25">
      <c r="A180">
        <v>2578</v>
      </c>
      <c r="B180" s="1">
        <v>1.7902777777777779</v>
      </c>
      <c r="C180">
        <v>0</v>
      </c>
      <c r="D180">
        <v>0</v>
      </c>
      <c r="E180">
        <f t="shared" si="2"/>
        <v>0</v>
      </c>
    </row>
    <row r="181" spans="1:5" x14ac:dyDescent="0.25">
      <c r="A181">
        <v>2579</v>
      </c>
      <c r="B181" s="1">
        <v>1.7909722222222222</v>
      </c>
      <c r="C181">
        <v>0</v>
      </c>
      <c r="D181">
        <v>0</v>
      </c>
      <c r="E181">
        <f t="shared" si="2"/>
        <v>0</v>
      </c>
    </row>
    <row r="182" spans="1:5" x14ac:dyDescent="0.25">
      <c r="A182">
        <v>2580</v>
      </c>
      <c r="B182" s="1">
        <v>1.7916666666666667</v>
      </c>
      <c r="C182">
        <v>0</v>
      </c>
      <c r="D182">
        <v>0</v>
      </c>
      <c r="E182">
        <f t="shared" si="2"/>
        <v>0</v>
      </c>
    </row>
    <row r="183" spans="1:5" x14ac:dyDescent="0.25">
      <c r="A183">
        <v>2581</v>
      </c>
      <c r="B183" s="1">
        <v>1.7923611111111111</v>
      </c>
      <c r="C183">
        <v>0</v>
      </c>
      <c r="D183">
        <v>0</v>
      </c>
      <c r="E183">
        <f t="shared" si="2"/>
        <v>0</v>
      </c>
    </row>
    <row r="184" spans="1:5" x14ac:dyDescent="0.25">
      <c r="A184">
        <v>2582</v>
      </c>
      <c r="B184" s="1">
        <v>1.7930555555555556</v>
      </c>
      <c r="C184">
        <v>0</v>
      </c>
      <c r="D184">
        <v>0</v>
      </c>
      <c r="E184">
        <f t="shared" si="2"/>
        <v>0</v>
      </c>
    </row>
    <row r="185" spans="1:5" x14ac:dyDescent="0.25">
      <c r="A185">
        <v>2583</v>
      </c>
      <c r="B185" s="1">
        <v>1.79375</v>
      </c>
      <c r="C185">
        <v>0</v>
      </c>
      <c r="D185">
        <v>0</v>
      </c>
      <c r="E185">
        <f t="shared" si="2"/>
        <v>0</v>
      </c>
    </row>
    <row r="186" spans="1:5" x14ac:dyDescent="0.25">
      <c r="A186">
        <v>2584</v>
      </c>
      <c r="B186" s="1">
        <v>1.7944444444444445</v>
      </c>
      <c r="C186">
        <v>0</v>
      </c>
      <c r="D186">
        <v>0</v>
      </c>
      <c r="E186">
        <f t="shared" si="2"/>
        <v>0</v>
      </c>
    </row>
    <row r="187" spans="1:5" x14ac:dyDescent="0.25">
      <c r="A187">
        <v>2585</v>
      </c>
      <c r="B187" s="1">
        <v>1.7951388888888888</v>
      </c>
      <c r="C187">
        <v>0</v>
      </c>
      <c r="D187">
        <v>0</v>
      </c>
      <c r="E187">
        <f t="shared" si="2"/>
        <v>0</v>
      </c>
    </row>
    <row r="188" spans="1:5" x14ac:dyDescent="0.25">
      <c r="A188">
        <v>2586</v>
      </c>
      <c r="B188" s="1">
        <v>1.7958333333333334</v>
      </c>
      <c r="C188">
        <v>0</v>
      </c>
      <c r="D188">
        <v>0</v>
      </c>
      <c r="E188">
        <f t="shared" si="2"/>
        <v>0</v>
      </c>
    </row>
    <row r="189" spans="1:5" x14ac:dyDescent="0.25">
      <c r="A189">
        <v>2587</v>
      </c>
      <c r="B189" s="1">
        <v>1.7965277777777777</v>
      </c>
      <c r="C189">
        <v>0</v>
      </c>
      <c r="D189">
        <v>0</v>
      </c>
      <c r="E189">
        <f t="shared" si="2"/>
        <v>0</v>
      </c>
    </row>
    <row r="190" spans="1:5" x14ac:dyDescent="0.25">
      <c r="A190">
        <v>2588</v>
      </c>
      <c r="B190" s="1">
        <v>1.7972222222222223</v>
      </c>
      <c r="C190">
        <v>0</v>
      </c>
      <c r="D190">
        <v>0</v>
      </c>
      <c r="E190">
        <f t="shared" si="2"/>
        <v>0</v>
      </c>
    </row>
    <row r="191" spans="1:5" x14ac:dyDescent="0.25">
      <c r="A191">
        <v>2589</v>
      </c>
      <c r="B191" s="1">
        <v>1.7979166666666666</v>
      </c>
      <c r="C191">
        <v>0</v>
      </c>
      <c r="D191">
        <v>0</v>
      </c>
      <c r="E191">
        <f t="shared" si="2"/>
        <v>0</v>
      </c>
    </row>
    <row r="192" spans="1:5" x14ac:dyDescent="0.25">
      <c r="A192">
        <v>2590</v>
      </c>
      <c r="B192" s="1">
        <v>1.7986111111111112</v>
      </c>
      <c r="C192">
        <v>0</v>
      </c>
      <c r="D192">
        <v>0</v>
      </c>
      <c r="E192">
        <f t="shared" si="2"/>
        <v>0</v>
      </c>
    </row>
    <row r="193" spans="1:5" x14ac:dyDescent="0.25">
      <c r="A193">
        <v>2591</v>
      </c>
      <c r="B193" s="1">
        <v>1.7993055555555555</v>
      </c>
      <c r="C193">
        <v>0</v>
      </c>
      <c r="D193">
        <v>0</v>
      </c>
      <c r="E193">
        <f t="shared" si="2"/>
        <v>0</v>
      </c>
    </row>
    <row r="194" spans="1:5" x14ac:dyDescent="0.25">
      <c r="A194">
        <v>2592</v>
      </c>
      <c r="B194" s="1">
        <v>1.8</v>
      </c>
      <c r="C194">
        <v>0</v>
      </c>
      <c r="D194">
        <v>0</v>
      </c>
      <c r="E194">
        <f t="shared" si="2"/>
        <v>0</v>
      </c>
    </row>
    <row r="195" spans="1:5" x14ac:dyDescent="0.25">
      <c r="A195">
        <v>2593</v>
      </c>
      <c r="B195" s="1">
        <v>1.8006944444444444</v>
      </c>
      <c r="C195">
        <v>0</v>
      </c>
      <c r="D195">
        <v>0</v>
      </c>
      <c r="E195">
        <f t="shared" ref="E195:E258" si="3">D195*$H$3</f>
        <v>0</v>
      </c>
    </row>
    <row r="196" spans="1:5" x14ac:dyDescent="0.25">
      <c r="A196">
        <v>2594</v>
      </c>
      <c r="B196" s="1">
        <v>1.8013888888888889</v>
      </c>
      <c r="C196">
        <v>0</v>
      </c>
      <c r="D196">
        <v>0</v>
      </c>
      <c r="E196">
        <f t="shared" si="3"/>
        <v>0</v>
      </c>
    </row>
    <row r="197" spans="1:5" x14ac:dyDescent="0.25">
      <c r="A197">
        <v>2595</v>
      </c>
      <c r="B197" s="1">
        <v>1.8020833333333333</v>
      </c>
      <c r="C197">
        <v>0</v>
      </c>
      <c r="D197">
        <v>0</v>
      </c>
      <c r="E197">
        <f t="shared" si="3"/>
        <v>0</v>
      </c>
    </row>
    <row r="198" spans="1:5" x14ac:dyDescent="0.25">
      <c r="A198">
        <v>2596</v>
      </c>
      <c r="B198" s="1">
        <v>1.8027777777777778</v>
      </c>
      <c r="C198">
        <v>0</v>
      </c>
      <c r="D198">
        <v>0</v>
      </c>
      <c r="E198">
        <f t="shared" si="3"/>
        <v>0</v>
      </c>
    </row>
    <row r="199" spans="1:5" x14ac:dyDescent="0.25">
      <c r="A199">
        <v>2597</v>
      </c>
      <c r="B199" s="1">
        <v>1.8034722222222221</v>
      </c>
      <c r="C199">
        <v>0</v>
      </c>
      <c r="D199">
        <v>0</v>
      </c>
      <c r="E199">
        <f t="shared" si="3"/>
        <v>0</v>
      </c>
    </row>
    <row r="200" spans="1:5" x14ac:dyDescent="0.25">
      <c r="A200">
        <v>2598</v>
      </c>
      <c r="B200" s="1">
        <v>1.8041666666666667</v>
      </c>
      <c r="C200">
        <v>0</v>
      </c>
      <c r="D200">
        <v>0</v>
      </c>
      <c r="E200">
        <f t="shared" si="3"/>
        <v>0</v>
      </c>
    </row>
    <row r="201" spans="1:5" x14ac:dyDescent="0.25">
      <c r="A201">
        <v>2599</v>
      </c>
      <c r="B201" s="1">
        <v>1.804861111111111</v>
      </c>
      <c r="C201">
        <v>0</v>
      </c>
      <c r="D201">
        <v>0</v>
      </c>
      <c r="E201">
        <f t="shared" si="3"/>
        <v>0</v>
      </c>
    </row>
    <row r="202" spans="1:5" x14ac:dyDescent="0.25">
      <c r="A202">
        <v>2600</v>
      </c>
      <c r="B202" s="1">
        <v>1.8055555555555556</v>
      </c>
      <c r="C202">
        <v>0</v>
      </c>
      <c r="D202">
        <v>0</v>
      </c>
      <c r="E202">
        <f t="shared" si="3"/>
        <v>0</v>
      </c>
    </row>
    <row r="203" spans="1:5" x14ac:dyDescent="0.25">
      <c r="A203">
        <v>2601</v>
      </c>
      <c r="B203" s="1">
        <v>1.8062499999999999</v>
      </c>
      <c r="C203">
        <v>0</v>
      </c>
      <c r="D203">
        <v>0</v>
      </c>
      <c r="E203">
        <f t="shared" si="3"/>
        <v>0</v>
      </c>
    </row>
    <row r="204" spans="1:5" x14ac:dyDescent="0.25">
      <c r="A204">
        <v>2602</v>
      </c>
      <c r="B204" s="1">
        <v>1.8069444444444445</v>
      </c>
      <c r="C204">
        <v>0</v>
      </c>
      <c r="D204">
        <v>0</v>
      </c>
      <c r="E204">
        <f t="shared" si="3"/>
        <v>0</v>
      </c>
    </row>
    <row r="205" spans="1:5" x14ac:dyDescent="0.25">
      <c r="A205">
        <v>2603</v>
      </c>
      <c r="B205" s="1">
        <v>1.8076388888888888</v>
      </c>
      <c r="C205">
        <v>0</v>
      </c>
      <c r="D205">
        <v>0</v>
      </c>
      <c r="E205">
        <f t="shared" si="3"/>
        <v>0</v>
      </c>
    </row>
    <row r="206" spans="1:5" x14ac:dyDescent="0.25">
      <c r="A206">
        <v>2604</v>
      </c>
      <c r="B206" s="1">
        <v>1.8083333333333333</v>
      </c>
      <c r="C206">
        <v>0</v>
      </c>
      <c r="D206">
        <v>0</v>
      </c>
      <c r="E206">
        <f t="shared" si="3"/>
        <v>0</v>
      </c>
    </row>
    <row r="207" spans="1:5" x14ac:dyDescent="0.25">
      <c r="A207">
        <v>2605</v>
      </c>
      <c r="B207" s="1">
        <v>1.8090277777777777</v>
      </c>
      <c r="C207">
        <v>0</v>
      </c>
      <c r="D207">
        <v>0</v>
      </c>
      <c r="E207">
        <f t="shared" si="3"/>
        <v>0</v>
      </c>
    </row>
    <row r="208" spans="1:5" x14ac:dyDescent="0.25">
      <c r="A208">
        <v>2606</v>
      </c>
      <c r="B208" s="1">
        <v>1.8097222222222222</v>
      </c>
      <c r="C208">
        <v>0</v>
      </c>
      <c r="D208">
        <v>0</v>
      </c>
      <c r="E208">
        <f t="shared" si="3"/>
        <v>0</v>
      </c>
    </row>
    <row r="209" spans="1:5" x14ac:dyDescent="0.25">
      <c r="A209">
        <v>2607</v>
      </c>
      <c r="B209" s="1">
        <v>1.8104166666666666</v>
      </c>
      <c r="C209">
        <v>0</v>
      </c>
      <c r="D209">
        <v>0</v>
      </c>
      <c r="E209">
        <f t="shared" si="3"/>
        <v>0</v>
      </c>
    </row>
    <row r="210" spans="1:5" x14ac:dyDescent="0.25">
      <c r="A210">
        <v>2608</v>
      </c>
      <c r="B210" s="1">
        <v>1.8111111111111111</v>
      </c>
      <c r="C210">
        <v>0</v>
      </c>
      <c r="D210">
        <v>0</v>
      </c>
      <c r="E210">
        <f t="shared" si="3"/>
        <v>0</v>
      </c>
    </row>
    <row r="211" spans="1:5" x14ac:dyDescent="0.25">
      <c r="A211">
        <v>2609</v>
      </c>
      <c r="B211" s="1">
        <v>1.8118055555555554</v>
      </c>
      <c r="C211">
        <v>0</v>
      </c>
      <c r="D211">
        <v>0</v>
      </c>
      <c r="E211">
        <f t="shared" si="3"/>
        <v>0</v>
      </c>
    </row>
    <row r="212" spans="1:5" x14ac:dyDescent="0.25">
      <c r="A212">
        <v>2610</v>
      </c>
      <c r="B212" s="1">
        <v>1.8125</v>
      </c>
      <c r="C212">
        <v>0</v>
      </c>
      <c r="D212">
        <v>0</v>
      </c>
      <c r="E212">
        <f t="shared" si="3"/>
        <v>0</v>
      </c>
    </row>
    <row r="213" spans="1:5" x14ac:dyDescent="0.25">
      <c r="A213">
        <v>2611</v>
      </c>
      <c r="B213" s="1">
        <v>1.8131944444444446</v>
      </c>
      <c r="C213">
        <v>0</v>
      </c>
      <c r="D213">
        <v>0</v>
      </c>
      <c r="E213">
        <f t="shared" si="3"/>
        <v>0</v>
      </c>
    </row>
    <row r="214" spans="1:5" x14ac:dyDescent="0.25">
      <c r="A214">
        <v>2612</v>
      </c>
      <c r="B214" s="1">
        <v>1.8138888888888889</v>
      </c>
      <c r="C214">
        <v>0</v>
      </c>
      <c r="D214">
        <v>0</v>
      </c>
      <c r="E214">
        <f t="shared" si="3"/>
        <v>0</v>
      </c>
    </row>
    <row r="215" spans="1:5" x14ac:dyDescent="0.25">
      <c r="A215">
        <v>2613</v>
      </c>
      <c r="B215" s="1">
        <v>1.8145833333333334</v>
      </c>
      <c r="C215">
        <v>16.11</v>
      </c>
      <c r="D215">
        <v>2.6848545057899198E-4</v>
      </c>
      <c r="E215">
        <f t="shared" si="3"/>
        <v>2.6848545057899198E-4</v>
      </c>
    </row>
    <row r="216" spans="1:5" x14ac:dyDescent="0.25">
      <c r="A216">
        <v>2614</v>
      </c>
      <c r="B216" s="1">
        <v>1.8152777777777778</v>
      </c>
      <c r="C216">
        <v>19.649999999999999</v>
      </c>
      <c r="D216">
        <v>3.27444691120688E-4</v>
      </c>
      <c r="E216">
        <f t="shared" si="3"/>
        <v>3.27444691120688E-4</v>
      </c>
    </row>
    <row r="217" spans="1:5" x14ac:dyDescent="0.25">
      <c r="A217">
        <v>2615</v>
      </c>
      <c r="B217" s="1">
        <v>1.8159722222222223</v>
      </c>
      <c r="C217">
        <v>23.45</v>
      </c>
      <c r="D217">
        <v>3.9088826667822002E-4</v>
      </c>
      <c r="E217">
        <f t="shared" si="3"/>
        <v>3.9088826667822002E-4</v>
      </c>
    </row>
    <row r="218" spans="1:5" x14ac:dyDescent="0.25">
      <c r="A218">
        <v>2616</v>
      </c>
      <c r="B218" s="1">
        <v>1.8166666666666667</v>
      </c>
      <c r="C218">
        <v>27.5</v>
      </c>
      <c r="D218">
        <v>4.5833333333334297E-4</v>
      </c>
      <c r="E218">
        <f t="shared" si="3"/>
        <v>4.5833333333334297E-4</v>
      </c>
    </row>
    <row r="219" spans="1:5" x14ac:dyDescent="0.25">
      <c r="A219">
        <v>2617</v>
      </c>
      <c r="B219" s="1">
        <v>1.8173611111111112</v>
      </c>
      <c r="C219">
        <v>31.76</v>
      </c>
      <c r="D219">
        <v>5.2926659340436495E-4</v>
      </c>
      <c r="E219">
        <f t="shared" si="3"/>
        <v>5.2926659340436495E-4</v>
      </c>
    </row>
    <row r="220" spans="1:5" x14ac:dyDescent="0.25">
      <c r="A220">
        <v>2618</v>
      </c>
      <c r="B220" s="1">
        <v>1.8180555555555555</v>
      </c>
      <c r="C220">
        <v>36.19</v>
      </c>
      <c r="D220">
        <v>6.03148201951472E-4</v>
      </c>
      <c r="E220">
        <f t="shared" si="3"/>
        <v>6.03148201951472E-4</v>
      </c>
    </row>
    <row r="221" spans="1:5" x14ac:dyDescent="0.25">
      <c r="A221">
        <v>2619</v>
      </c>
      <c r="B221" s="1">
        <v>1.8187500000000001</v>
      </c>
      <c r="C221">
        <v>40.76</v>
      </c>
      <c r="D221">
        <v>6.7941587532268602E-4</v>
      </c>
      <c r="E221">
        <f t="shared" si="3"/>
        <v>6.7941587532268602E-4</v>
      </c>
    </row>
    <row r="222" spans="1:5" x14ac:dyDescent="0.25">
      <c r="A222">
        <v>2620</v>
      </c>
      <c r="B222" s="1">
        <v>1.8194444444444444</v>
      </c>
      <c r="C222">
        <v>45.45</v>
      </c>
      <c r="D222">
        <v>7.5748917047197299E-4</v>
      </c>
      <c r="E222">
        <f t="shared" si="3"/>
        <v>7.5748917047197299E-4</v>
      </c>
    </row>
    <row r="223" spans="1:5" x14ac:dyDescent="0.25">
      <c r="A223">
        <v>2621</v>
      </c>
      <c r="B223" s="1">
        <v>1.820138888888889</v>
      </c>
      <c r="C223">
        <v>50.21</v>
      </c>
      <c r="D223">
        <v>8.3677390248130103E-4</v>
      </c>
      <c r="E223">
        <f t="shared" si="3"/>
        <v>8.3677390248130103E-4</v>
      </c>
    </row>
    <row r="224" spans="1:5" x14ac:dyDescent="0.25">
      <c r="A224">
        <v>2622</v>
      </c>
      <c r="B224" s="1">
        <v>1.8208333333333333</v>
      </c>
      <c r="C224">
        <v>55</v>
      </c>
      <c r="D224">
        <v>9.1666666666668302E-4</v>
      </c>
      <c r="E224">
        <f t="shared" si="3"/>
        <v>9.1666666666668302E-4</v>
      </c>
    </row>
    <row r="225" spans="1:5" x14ac:dyDescent="0.25">
      <c r="A225">
        <v>2623</v>
      </c>
      <c r="B225" s="1">
        <v>1.8215277777777779</v>
      </c>
      <c r="C225">
        <v>59.79</v>
      </c>
      <c r="D225">
        <v>9.9655943085203195E-4</v>
      </c>
      <c r="E225">
        <f t="shared" si="3"/>
        <v>9.9655943085203195E-4</v>
      </c>
    </row>
    <row r="226" spans="1:5" x14ac:dyDescent="0.25">
      <c r="A226">
        <v>2624</v>
      </c>
      <c r="B226" s="1">
        <v>1.8222222222222222</v>
      </c>
      <c r="C226">
        <v>64.55</v>
      </c>
      <c r="D226">
        <v>1.0758441628613499E-3</v>
      </c>
      <c r="E226">
        <f t="shared" si="3"/>
        <v>1.0758441628613499E-3</v>
      </c>
    </row>
    <row r="227" spans="1:5" x14ac:dyDescent="0.25">
      <c r="A227">
        <v>2625</v>
      </c>
      <c r="B227" s="1">
        <v>1.8229166666666667</v>
      </c>
      <c r="C227">
        <v>69.239999999999995</v>
      </c>
      <c r="D227">
        <v>1.15391745801064E-3</v>
      </c>
      <c r="E227">
        <f t="shared" si="3"/>
        <v>1.15391745801064E-3</v>
      </c>
    </row>
    <row r="228" spans="1:5" x14ac:dyDescent="0.25">
      <c r="A228">
        <v>2626</v>
      </c>
      <c r="B228" s="1">
        <v>1.8236111111111111</v>
      </c>
      <c r="C228">
        <v>73.81</v>
      </c>
      <c r="D228">
        <v>1.23018513138186E-3</v>
      </c>
      <c r="E228">
        <f t="shared" si="3"/>
        <v>1.23018513138186E-3</v>
      </c>
    </row>
    <row r="229" spans="1:5" x14ac:dyDescent="0.25">
      <c r="A229">
        <v>2627</v>
      </c>
      <c r="B229" s="1">
        <v>1.8243055555555556</v>
      </c>
      <c r="C229">
        <v>78.239999999999995</v>
      </c>
      <c r="D229">
        <v>1.3040667399289599E-3</v>
      </c>
      <c r="E229">
        <f t="shared" si="3"/>
        <v>1.3040667399289599E-3</v>
      </c>
    </row>
    <row r="230" spans="1:5" x14ac:dyDescent="0.25">
      <c r="A230">
        <v>2628</v>
      </c>
      <c r="B230" s="1">
        <v>1.825</v>
      </c>
      <c r="C230">
        <v>82.5</v>
      </c>
      <c r="D230">
        <v>1.3749999999999899E-3</v>
      </c>
      <c r="E230">
        <f t="shared" si="3"/>
        <v>1.3749999999999899E-3</v>
      </c>
    </row>
    <row r="231" spans="1:5" x14ac:dyDescent="0.25">
      <c r="A231">
        <v>2629</v>
      </c>
      <c r="B231" s="1">
        <v>1.8256944444444445</v>
      </c>
      <c r="C231">
        <v>86.55</v>
      </c>
      <c r="D231">
        <v>1.4424450666551401E-3</v>
      </c>
      <c r="E231">
        <f t="shared" si="3"/>
        <v>1.4424450666551401E-3</v>
      </c>
    </row>
    <row r="232" spans="1:5" x14ac:dyDescent="0.25">
      <c r="A232">
        <v>2630</v>
      </c>
      <c r="B232" s="1">
        <v>1.8263888888888888</v>
      </c>
      <c r="C232">
        <v>90.35</v>
      </c>
      <c r="D232">
        <v>1.5058886422126699E-3</v>
      </c>
      <c r="E232">
        <f t="shared" si="3"/>
        <v>1.5058886422126699E-3</v>
      </c>
    </row>
    <row r="233" spans="1:5" x14ac:dyDescent="0.25">
      <c r="A233">
        <v>2631</v>
      </c>
      <c r="B233" s="1">
        <v>1.8270833333333334</v>
      </c>
      <c r="C233">
        <v>93.89</v>
      </c>
      <c r="D233">
        <v>1.56484788275434E-3</v>
      </c>
      <c r="E233">
        <f t="shared" si="3"/>
        <v>1.56484788275434E-3</v>
      </c>
    </row>
    <row r="234" spans="1:5" x14ac:dyDescent="0.25">
      <c r="A234">
        <v>2632</v>
      </c>
      <c r="B234" s="1">
        <v>1.8277777777777777</v>
      </c>
      <c r="C234">
        <v>97.13</v>
      </c>
      <c r="D234">
        <v>1.6188740728590599E-3</v>
      </c>
      <c r="E234">
        <f t="shared" si="3"/>
        <v>1.6188740728590599E-3</v>
      </c>
    </row>
    <row r="235" spans="1:5" x14ac:dyDescent="0.25">
      <c r="A235">
        <v>2633</v>
      </c>
      <c r="B235" s="1">
        <v>1.8284722222222223</v>
      </c>
      <c r="C235">
        <v>100.05</v>
      </c>
      <c r="D235">
        <v>1.66755604059824E-3</v>
      </c>
      <c r="E235">
        <f t="shared" si="3"/>
        <v>1.66755604059824E-3</v>
      </c>
    </row>
    <row r="236" spans="1:5" x14ac:dyDescent="0.25">
      <c r="A236">
        <v>2634</v>
      </c>
      <c r="B236" s="1">
        <v>1.8291666666666666</v>
      </c>
      <c r="C236">
        <v>102.63</v>
      </c>
      <c r="D236">
        <v>1.71052328680239E-3</v>
      </c>
      <c r="E236">
        <f t="shared" si="3"/>
        <v>1.71052328680239E-3</v>
      </c>
    </row>
    <row r="237" spans="1:5" x14ac:dyDescent="0.25">
      <c r="A237">
        <v>2635</v>
      </c>
      <c r="B237" s="1">
        <v>1.8298611111111112</v>
      </c>
      <c r="C237">
        <v>104.85</v>
      </c>
      <c r="D237">
        <v>1.74744880478359E-3</v>
      </c>
      <c r="E237">
        <f t="shared" si="3"/>
        <v>1.74744880478359E-3</v>
      </c>
    </row>
    <row r="238" spans="1:5" x14ac:dyDescent="0.25">
      <c r="A238">
        <v>2636</v>
      </c>
      <c r="B238" s="1">
        <v>1.8305555555555555</v>
      </c>
      <c r="C238">
        <v>106.68</v>
      </c>
      <c r="D238">
        <v>1.77805156905374E-3</v>
      </c>
      <c r="E238">
        <f t="shared" si="3"/>
        <v>1.77805156905374E-3</v>
      </c>
    </row>
    <row r="239" spans="1:5" x14ac:dyDescent="0.25">
      <c r="A239">
        <v>2637</v>
      </c>
      <c r="B239" s="1">
        <v>1.83125</v>
      </c>
      <c r="C239">
        <v>108.13</v>
      </c>
      <c r="D239">
        <v>1.80209867409831E-3</v>
      </c>
      <c r="E239">
        <f t="shared" si="3"/>
        <v>1.80209867409831E-3</v>
      </c>
    </row>
    <row r="240" spans="1:5" x14ac:dyDescent="0.25">
      <c r="A240">
        <v>2638</v>
      </c>
      <c r="B240" s="1">
        <v>1.8319444444444444</v>
      </c>
      <c r="C240">
        <v>109.16</v>
      </c>
      <c r="D240">
        <v>1.8194071069278499E-3</v>
      </c>
      <c r="E240">
        <f t="shared" si="3"/>
        <v>1.8194071069278499E-3</v>
      </c>
    </row>
    <row r="241" spans="1:5" x14ac:dyDescent="0.25">
      <c r="A241">
        <v>2639</v>
      </c>
      <c r="B241" s="1">
        <v>1.8326388888888889</v>
      </c>
      <c r="C241">
        <v>109.79</v>
      </c>
      <c r="D241">
        <v>1.8298451399174299E-3</v>
      </c>
      <c r="E241">
        <f t="shared" si="3"/>
        <v>1.8298451399174299E-3</v>
      </c>
    </row>
    <row r="242" spans="1:5" x14ac:dyDescent="0.25">
      <c r="A242">
        <v>2640</v>
      </c>
      <c r="B242" s="1">
        <v>1.8333333333333333</v>
      </c>
      <c r="C242">
        <v>110</v>
      </c>
      <c r="D242">
        <v>1.83333333333333E-3</v>
      </c>
      <c r="E242">
        <f t="shared" si="3"/>
        <v>1.83333333333333E-3</v>
      </c>
    </row>
    <row r="243" spans="1:5" x14ac:dyDescent="0.25">
      <c r="A243">
        <v>2641</v>
      </c>
      <c r="B243" s="1">
        <v>1.8340277777777778</v>
      </c>
      <c r="C243">
        <v>109.81</v>
      </c>
      <c r="D243">
        <v>1.83013777229815E-3</v>
      </c>
      <c r="E243">
        <f t="shared" si="3"/>
        <v>1.83013777229815E-3</v>
      </c>
    </row>
    <row r="244" spans="1:5" x14ac:dyDescent="0.25">
      <c r="A244">
        <v>2642</v>
      </c>
      <c r="B244" s="1">
        <v>1.8347222222222221</v>
      </c>
      <c r="C244">
        <v>109.24</v>
      </c>
      <c r="D244">
        <v>1.8205861004280499E-3</v>
      </c>
      <c r="E244">
        <f t="shared" si="3"/>
        <v>1.8205861004280499E-3</v>
      </c>
    </row>
    <row r="245" spans="1:5" x14ac:dyDescent="0.25">
      <c r="A245">
        <v>2643</v>
      </c>
      <c r="B245" s="1">
        <v>1.8354166666666667</v>
      </c>
      <c r="C245">
        <v>108.29</v>
      </c>
      <c r="D245">
        <v>1.8047829678388401E-3</v>
      </c>
      <c r="E245">
        <f t="shared" si="3"/>
        <v>1.8047829678388401E-3</v>
      </c>
    </row>
    <row r="246" spans="1:5" x14ac:dyDescent="0.25">
      <c r="A246">
        <v>2644</v>
      </c>
      <c r="B246" s="1">
        <v>1.836111111111111</v>
      </c>
      <c r="C246">
        <v>106.97</v>
      </c>
      <c r="D246">
        <v>1.78290151695817E-3</v>
      </c>
      <c r="E246">
        <f t="shared" si="3"/>
        <v>1.78290151695817E-3</v>
      </c>
    </row>
    <row r="247" spans="1:5" x14ac:dyDescent="0.25">
      <c r="A247">
        <v>2645</v>
      </c>
      <c r="B247" s="1">
        <v>1.8368055555555556</v>
      </c>
      <c r="C247">
        <v>105.31</v>
      </c>
      <c r="D247">
        <v>1.75518148554091E-3</v>
      </c>
      <c r="E247">
        <f t="shared" si="3"/>
        <v>1.75518148554091E-3</v>
      </c>
    </row>
    <row r="248" spans="1:5" x14ac:dyDescent="0.25">
      <c r="A248">
        <v>2646</v>
      </c>
      <c r="B248" s="1">
        <v>1.8374999999999999</v>
      </c>
      <c r="C248">
        <v>103.32</v>
      </c>
      <c r="D248">
        <v>1.72192658005204E-3</v>
      </c>
      <c r="E248">
        <f t="shared" si="3"/>
        <v>1.72192658005204E-3</v>
      </c>
    </row>
    <row r="249" spans="1:5" x14ac:dyDescent="0.25">
      <c r="A249">
        <v>2647</v>
      </c>
      <c r="B249" s="1">
        <v>1.8381944444444445</v>
      </c>
      <c r="C249">
        <v>101.01</v>
      </c>
      <c r="D249">
        <v>1.68350114819514E-3</v>
      </c>
      <c r="E249">
        <f t="shared" si="3"/>
        <v>1.68350114819514E-3</v>
      </c>
    </row>
    <row r="250" spans="1:5" x14ac:dyDescent="0.25">
      <c r="A250">
        <v>2648</v>
      </c>
      <c r="B250" s="1">
        <v>1.8388888888888888</v>
      </c>
      <c r="C250">
        <v>98.42</v>
      </c>
      <c r="D250">
        <v>1.6403261870426599E-3</v>
      </c>
      <c r="E250">
        <f t="shared" si="3"/>
        <v>1.6403261870426599E-3</v>
      </c>
    </row>
    <row r="251" spans="1:5" x14ac:dyDescent="0.25">
      <c r="A251">
        <v>2649</v>
      </c>
      <c r="B251" s="1">
        <v>1.8395833333333333</v>
      </c>
      <c r="C251">
        <v>95.57</v>
      </c>
      <c r="D251">
        <v>1.5928747305039401E-3</v>
      </c>
      <c r="E251">
        <f t="shared" si="3"/>
        <v>1.5928747305039401E-3</v>
      </c>
    </row>
    <row r="252" spans="1:5" x14ac:dyDescent="0.25">
      <c r="A252">
        <v>2650</v>
      </c>
      <c r="B252" s="1">
        <v>1.8402777777777777</v>
      </c>
      <c r="C252">
        <v>92.5</v>
      </c>
      <c r="D252">
        <v>1.5416666666666699E-3</v>
      </c>
      <c r="E252">
        <f t="shared" si="3"/>
        <v>1.5416666666666699E-3</v>
      </c>
    </row>
    <row r="253" spans="1:5" x14ac:dyDescent="0.25">
      <c r="A253">
        <v>2651</v>
      </c>
      <c r="B253" s="1">
        <v>1.8409722222222222</v>
      </c>
      <c r="C253">
        <v>89.24</v>
      </c>
      <c r="D253">
        <v>1.4872630417942199E-3</v>
      </c>
      <c r="E253">
        <f t="shared" si="3"/>
        <v>1.4872630417942199E-3</v>
      </c>
    </row>
    <row r="254" spans="1:5" x14ac:dyDescent="0.25">
      <c r="A254">
        <v>2652</v>
      </c>
      <c r="B254" s="1">
        <v>1.8416666666666666</v>
      </c>
      <c r="C254">
        <v>85.82</v>
      </c>
      <c r="D254">
        <v>1.4302599133853701E-3</v>
      </c>
      <c r="E254">
        <f t="shared" si="3"/>
        <v>1.4302599133853701E-3</v>
      </c>
    </row>
    <row r="255" spans="1:5" x14ac:dyDescent="0.25">
      <c r="A255">
        <v>2653</v>
      </c>
      <c r="B255" s="1">
        <v>1.8423611111111111</v>
      </c>
      <c r="C255">
        <v>82.28</v>
      </c>
      <c r="D255">
        <v>1.37128181964368E-3</v>
      </c>
      <c r="E255">
        <f t="shared" si="3"/>
        <v>1.37128181964368E-3</v>
      </c>
    </row>
    <row r="256" spans="1:5" x14ac:dyDescent="0.25">
      <c r="A256">
        <v>2654</v>
      </c>
      <c r="B256" s="1">
        <v>1.8430555555555554</v>
      </c>
      <c r="C256">
        <v>78.66</v>
      </c>
      <c r="D256">
        <v>1.3109749369061201E-3</v>
      </c>
      <c r="E256">
        <f t="shared" si="3"/>
        <v>1.3109749369061201E-3</v>
      </c>
    </row>
    <row r="257" spans="1:5" x14ac:dyDescent="0.25">
      <c r="A257">
        <v>2655</v>
      </c>
      <c r="B257" s="1">
        <v>1.84375</v>
      </c>
      <c r="C257">
        <v>75</v>
      </c>
      <c r="D257">
        <v>1.25E-3</v>
      </c>
      <c r="E257">
        <f t="shared" si="3"/>
        <v>1.25E-3</v>
      </c>
    </row>
    <row r="258" spans="1:5" x14ac:dyDescent="0.25">
      <c r="A258">
        <v>2656</v>
      </c>
      <c r="B258" s="1">
        <v>1.8444444444444446</v>
      </c>
      <c r="C258">
        <v>71.34</v>
      </c>
      <c r="D258">
        <v>1.18902506309387E-3</v>
      </c>
      <c r="E258">
        <f t="shared" si="3"/>
        <v>1.18902506309387E-3</v>
      </c>
    </row>
    <row r="259" spans="1:5" x14ac:dyDescent="0.25">
      <c r="A259">
        <v>2657</v>
      </c>
      <c r="B259" s="1">
        <v>1.8451388888888889</v>
      </c>
      <c r="C259">
        <v>67.72</v>
      </c>
      <c r="D259">
        <v>1.1287181803563101E-3</v>
      </c>
      <c r="E259">
        <f t="shared" ref="E259:E322" si="4">D259*$H$3</f>
        <v>1.1287181803563101E-3</v>
      </c>
    </row>
    <row r="260" spans="1:5" x14ac:dyDescent="0.25">
      <c r="A260">
        <v>2658</v>
      </c>
      <c r="B260" s="1">
        <v>1.8458333333333334</v>
      </c>
      <c r="C260">
        <v>64.180000000000007</v>
      </c>
      <c r="D260">
        <v>1.06974008661462E-3</v>
      </c>
      <c r="E260">
        <f t="shared" si="4"/>
        <v>1.06974008661462E-3</v>
      </c>
    </row>
    <row r="261" spans="1:5" x14ac:dyDescent="0.25">
      <c r="A261">
        <v>2659</v>
      </c>
      <c r="B261" s="1">
        <v>1.8465277777777778</v>
      </c>
      <c r="C261">
        <v>60.76</v>
      </c>
      <c r="D261">
        <v>1.0127369582057699E-3</v>
      </c>
      <c r="E261">
        <f t="shared" si="4"/>
        <v>1.0127369582057699E-3</v>
      </c>
    </row>
    <row r="262" spans="1:5" x14ac:dyDescent="0.25">
      <c r="A262">
        <v>2660</v>
      </c>
      <c r="B262" s="1">
        <v>1.8472222222222223</v>
      </c>
      <c r="C262">
        <v>57.5</v>
      </c>
      <c r="D262">
        <v>9.5833333333332504E-4</v>
      </c>
      <c r="E262">
        <f t="shared" si="4"/>
        <v>9.5833333333332504E-4</v>
      </c>
    </row>
    <row r="263" spans="1:5" x14ac:dyDescent="0.25">
      <c r="A263">
        <v>2661</v>
      </c>
      <c r="B263" s="1">
        <v>1.8479166666666667</v>
      </c>
      <c r="C263">
        <v>54.43</v>
      </c>
      <c r="D263">
        <v>9.0712526949605302E-4</v>
      </c>
      <c r="E263">
        <f t="shared" si="4"/>
        <v>9.0712526949605302E-4</v>
      </c>
    </row>
    <row r="264" spans="1:5" x14ac:dyDescent="0.25">
      <c r="A264">
        <v>2662</v>
      </c>
      <c r="B264" s="1">
        <v>1.8486111111111112</v>
      </c>
      <c r="C264">
        <v>51.58</v>
      </c>
      <c r="D264">
        <v>8.5967381295733105E-4</v>
      </c>
      <c r="E264">
        <f t="shared" si="4"/>
        <v>8.5967381295733105E-4</v>
      </c>
    </row>
    <row r="265" spans="1:5" x14ac:dyDescent="0.25">
      <c r="A265">
        <v>2663</v>
      </c>
      <c r="B265" s="1">
        <v>1.8493055555555555</v>
      </c>
      <c r="C265">
        <v>48.99</v>
      </c>
      <c r="D265">
        <v>8.16498851804854E-4</v>
      </c>
      <c r="E265">
        <f t="shared" si="4"/>
        <v>8.16498851804854E-4</v>
      </c>
    </row>
    <row r="266" spans="1:5" x14ac:dyDescent="0.25">
      <c r="A266">
        <v>2664</v>
      </c>
      <c r="B266" s="1">
        <v>1.85</v>
      </c>
      <c r="C266">
        <v>46.68</v>
      </c>
      <c r="D266">
        <v>7.7807341994795001E-4</v>
      </c>
      <c r="E266">
        <f t="shared" si="4"/>
        <v>7.7807341994795001E-4</v>
      </c>
    </row>
    <row r="267" spans="1:5" x14ac:dyDescent="0.25">
      <c r="A267">
        <v>2665</v>
      </c>
      <c r="B267" s="1">
        <v>1.8506944444444444</v>
      </c>
      <c r="C267">
        <v>44.69</v>
      </c>
      <c r="D267">
        <v>7.4481851445908098E-4</v>
      </c>
      <c r="E267">
        <f t="shared" si="4"/>
        <v>7.4481851445908098E-4</v>
      </c>
    </row>
    <row r="268" spans="1:5" x14ac:dyDescent="0.25">
      <c r="A268">
        <v>2666</v>
      </c>
      <c r="B268" s="1">
        <v>1.851388888888889</v>
      </c>
      <c r="C268">
        <v>43.03</v>
      </c>
      <c r="D268">
        <v>7.1709848304182095E-4</v>
      </c>
      <c r="E268">
        <f t="shared" si="4"/>
        <v>7.1709848304182095E-4</v>
      </c>
    </row>
    <row r="269" spans="1:5" x14ac:dyDescent="0.25">
      <c r="A269">
        <v>2667</v>
      </c>
      <c r="B269" s="1">
        <v>1.8520833333333333</v>
      </c>
      <c r="C269">
        <v>41.71</v>
      </c>
      <c r="D269">
        <v>6.9521703216115702E-4</v>
      </c>
      <c r="E269">
        <f t="shared" si="4"/>
        <v>6.9521703216115702E-4</v>
      </c>
    </row>
    <row r="270" spans="1:5" x14ac:dyDescent="0.25">
      <c r="A270">
        <v>2668</v>
      </c>
      <c r="B270" s="1">
        <v>1.8527777777777779</v>
      </c>
      <c r="C270">
        <v>40.76</v>
      </c>
      <c r="D270">
        <v>6.7941389957194495E-4</v>
      </c>
      <c r="E270">
        <f t="shared" si="4"/>
        <v>6.7941389957194495E-4</v>
      </c>
    </row>
    <row r="271" spans="1:5" x14ac:dyDescent="0.25">
      <c r="A271">
        <v>2669</v>
      </c>
      <c r="B271" s="1">
        <v>1.8534722222222222</v>
      </c>
      <c r="C271">
        <v>40.19</v>
      </c>
      <c r="D271">
        <v>6.6986222770184004E-4</v>
      </c>
      <c r="E271">
        <f t="shared" si="4"/>
        <v>6.6986222770184004E-4</v>
      </c>
    </row>
    <row r="272" spans="1:5" x14ac:dyDescent="0.25">
      <c r="A272">
        <v>2670</v>
      </c>
      <c r="B272" s="1">
        <v>1.8541666666666667</v>
      </c>
      <c r="C272">
        <v>40</v>
      </c>
      <c r="D272">
        <v>6.6666666666666599E-4</v>
      </c>
      <c r="E272">
        <f t="shared" si="4"/>
        <v>6.6666666666666599E-4</v>
      </c>
    </row>
    <row r="273" spans="1:5" x14ac:dyDescent="0.25">
      <c r="A273">
        <v>2671</v>
      </c>
      <c r="B273" s="1">
        <v>1.8548611111111111</v>
      </c>
      <c r="C273">
        <v>40.049999999999997</v>
      </c>
      <c r="D273">
        <v>6.6745943789755298E-4</v>
      </c>
      <c r="E273">
        <f t="shared" si="4"/>
        <v>6.6745943789755298E-4</v>
      </c>
    </row>
    <row r="274" spans="1:5" x14ac:dyDescent="0.25">
      <c r="A274">
        <v>2672</v>
      </c>
      <c r="B274" s="1">
        <v>1.8555555555555556</v>
      </c>
      <c r="C274">
        <v>40.19</v>
      </c>
      <c r="D274">
        <v>6.69831718122456E-4</v>
      </c>
      <c r="E274">
        <f t="shared" si="4"/>
        <v>6.69831718122456E-4</v>
      </c>
    </row>
    <row r="275" spans="1:5" x14ac:dyDescent="0.25">
      <c r="A275">
        <v>2673</v>
      </c>
      <c r="B275" s="1">
        <v>1.85625</v>
      </c>
      <c r="C275">
        <v>40.43</v>
      </c>
      <c r="D275">
        <v>6.7376545285644299E-4</v>
      </c>
      <c r="E275">
        <f t="shared" si="4"/>
        <v>6.7376545285644299E-4</v>
      </c>
    </row>
    <row r="276" spans="1:5" x14ac:dyDescent="0.25">
      <c r="A276">
        <v>2674</v>
      </c>
      <c r="B276" s="1">
        <v>1.8569444444444445</v>
      </c>
      <c r="C276">
        <v>40.75</v>
      </c>
      <c r="D276">
        <v>6.7923070400293599E-4</v>
      </c>
      <c r="E276">
        <f t="shared" si="4"/>
        <v>6.7923070400293599E-4</v>
      </c>
    </row>
    <row r="277" spans="1:5" x14ac:dyDescent="0.25">
      <c r="A277">
        <v>2675</v>
      </c>
      <c r="B277" s="1">
        <v>1.8576388888888888</v>
      </c>
      <c r="C277">
        <v>41.17</v>
      </c>
      <c r="D277">
        <v>6.86185877700698E-4</v>
      </c>
      <c r="E277">
        <f t="shared" si="4"/>
        <v>6.86185877700698E-4</v>
      </c>
    </row>
    <row r="278" spans="1:5" x14ac:dyDescent="0.25">
      <c r="A278">
        <v>2676</v>
      </c>
      <c r="B278" s="1">
        <v>1.8583333333333334</v>
      </c>
      <c r="C278">
        <v>41.67</v>
      </c>
      <c r="D278">
        <v>6.9457804087824204E-4</v>
      </c>
      <c r="E278">
        <f t="shared" si="4"/>
        <v>6.9457804087824204E-4</v>
      </c>
    </row>
    <row r="279" spans="1:5" x14ac:dyDescent="0.25">
      <c r="A279">
        <v>2677</v>
      </c>
      <c r="B279" s="1">
        <v>1.8590277777777777</v>
      </c>
      <c r="C279">
        <v>42.26</v>
      </c>
      <c r="D279">
        <v>7.0434332410645995E-4</v>
      </c>
      <c r="E279">
        <f t="shared" si="4"/>
        <v>7.0434332410645995E-4</v>
      </c>
    </row>
    <row r="280" spans="1:5" x14ac:dyDescent="0.25">
      <c r="A280">
        <v>2678</v>
      </c>
      <c r="B280" s="1">
        <v>1.8597222222222223</v>
      </c>
      <c r="C280">
        <v>42.92</v>
      </c>
      <c r="D280">
        <v>7.1540740768354495E-4</v>
      </c>
      <c r="E280">
        <f t="shared" si="4"/>
        <v>7.1540740768354495E-4</v>
      </c>
    </row>
    <row r="281" spans="1:5" x14ac:dyDescent="0.25">
      <c r="A281">
        <v>2679</v>
      </c>
      <c r="B281" s="1">
        <v>1.8604166666666666</v>
      </c>
      <c r="C281">
        <v>43.66</v>
      </c>
      <c r="D281">
        <v>7.2768608725280097E-4</v>
      </c>
      <c r="E281">
        <f t="shared" si="4"/>
        <v>7.2768608725280097E-4</v>
      </c>
    </row>
    <row r="282" spans="1:5" x14ac:dyDescent="0.25">
      <c r="A282">
        <v>2680</v>
      </c>
      <c r="B282" s="1">
        <v>1.8611111111111112</v>
      </c>
      <c r="C282">
        <v>44.47</v>
      </c>
      <c r="D282">
        <v>7.4108591464863499E-4</v>
      </c>
      <c r="E282">
        <f t="shared" si="4"/>
        <v>7.4108591464863499E-4</v>
      </c>
    </row>
    <row r="283" spans="1:5" x14ac:dyDescent="0.25">
      <c r="A283">
        <v>2681</v>
      </c>
      <c r="B283" s="1">
        <v>1.8618055555555555</v>
      </c>
      <c r="C283">
        <v>45.33</v>
      </c>
      <c r="D283">
        <v>7.5550490909352805E-4</v>
      </c>
      <c r="E283">
        <f t="shared" si="4"/>
        <v>7.5550490909352805E-4</v>
      </c>
    </row>
    <row r="284" spans="1:5" x14ac:dyDescent="0.25">
      <c r="A284">
        <v>2682</v>
      </c>
      <c r="B284" s="1">
        <v>1.8625</v>
      </c>
      <c r="C284">
        <v>46.25</v>
      </c>
      <c r="D284">
        <v>7.7083333333333496E-4</v>
      </c>
      <c r="E284">
        <f t="shared" si="4"/>
        <v>7.7083333333333496E-4</v>
      </c>
    </row>
    <row r="285" spans="1:5" x14ac:dyDescent="0.25">
      <c r="A285">
        <v>2683</v>
      </c>
      <c r="B285" s="1">
        <v>1.8631944444444444</v>
      </c>
      <c r="C285">
        <v>47.22</v>
      </c>
      <c r="D285">
        <v>7.8695452880402203E-4</v>
      </c>
      <c r="E285">
        <f t="shared" si="4"/>
        <v>7.8695452880402203E-4</v>
      </c>
    </row>
    <row r="286" spans="1:5" x14ac:dyDescent="0.25">
      <c r="A286">
        <v>2684</v>
      </c>
      <c r="B286" s="1">
        <v>1.8638888888888889</v>
      </c>
      <c r="C286">
        <v>48.22</v>
      </c>
      <c r="D286">
        <v>8.0374580347381897E-4</v>
      </c>
      <c r="E286">
        <f t="shared" si="4"/>
        <v>8.0374580347381897E-4</v>
      </c>
    </row>
    <row r="287" spans="1:5" x14ac:dyDescent="0.25">
      <c r="A287">
        <v>2685</v>
      </c>
      <c r="B287" s="1">
        <v>1.8645833333333333</v>
      </c>
      <c r="C287">
        <v>49.26</v>
      </c>
      <c r="D287">
        <v>8.2107936560364095E-4</v>
      </c>
      <c r="E287">
        <f t="shared" si="4"/>
        <v>8.2107936560364095E-4</v>
      </c>
    </row>
    <row r="288" spans="1:5" x14ac:dyDescent="0.25">
      <c r="A288">
        <v>2686</v>
      </c>
      <c r="B288" s="1">
        <v>1.8652777777777778</v>
      </c>
      <c r="C288">
        <v>50.33</v>
      </c>
      <c r="D288">
        <v>8.3882329631938704E-4</v>
      </c>
      <c r="E288">
        <f t="shared" si="4"/>
        <v>8.3882329631938704E-4</v>
      </c>
    </row>
    <row r="289" spans="1:5" x14ac:dyDescent="0.25">
      <c r="A289">
        <v>2687</v>
      </c>
      <c r="B289" s="1">
        <v>1.8659722222222221</v>
      </c>
      <c r="C289">
        <v>51.41</v>
      </c>
      <c r="D289">
        <v>8.5684255359423504E-4</v>
      </c>
      <c r="E289">
        <f t="shared" si="4"/>
        <v>8.5684255359423504E-4</v>
      </c>
    </row>
    <row r="290" spans="1:5" x14ac:dyDescent="0.25">
      <c r="A290">
        <v>2688</v>
      </c>
      <c r="B290" s="1">
        <v>1.8666666666666667</v>
      </c>
      <c r="C290">
        <v>52.5</v>
      </c>
      <c r="D290">
        <v>8.7499999999999601E-4</v>
      </c>
      <c r="E290">
        <f t="shared" si="4"/>
        <v>8.7499999999999601E-4</v>
      </c>
    </row>
    <row r="291" spans="1:5" x14ac:dyDescent="0.25">
      <c r="A291">
        <v>2689</v>
      </c>
      <c r="B291" s="1">
        <v>1.867361111111111</v>
      </c>
      <c r="C291">
        <v>53.59</v>
      </c>
      <c r="D291">
        <v>8.9315744640576403E-4</v>
      </c>
      <c r="E291">
        <f t="shared" si="4"/>
        <v>8.9315744640576403E-4</v>
      </c>
    </row>
    <row r="292" spans="1:5" x14ac:dyDescent="0.25">
      <c r="A292">
        <v>2690</v>
      </c>
      <c r="B292" s="1">
        <v>1.8680555555555556</v>
      </c>
      <c r="C292">
        <v>54.67</v>
      </c>
      <c r="D292">
        <v>9.1117670368061202E-4</v>
      </c>
      <c r="E292">
        <f t="shared" si="4"/>
        <v>9.1117670368061202E-4</v>
      </c>
    </row>
    <row r="293" spans="1:5" x14ac:dyDescent="0.25">
      <c r="A293">
        <v>2691</v>
      </c>
      <c r="B293" s="1">
        <v>1.8687499999999999</v>
      </c>
      <c r="C293">
        <v>55.74</v>
      </c>
      <c r="D293">
        <v>9.2892063439635898E-4</v>
      </c>
      <c r="E293">
        <f t="shared" si="4"/>
        <v>9.2892063439635898E-4</v>
      </c>
    </row>
    <row r="294" spans="1:5" x14ac:dyDescent="0.25">
      <c r="A294">
        <v>2692</v>
      </c>
      <c r="B294" s="1">
        <v>1.8694444444444445</v>
      </c>
      <c r="C294">
        <v>56.78</v>
      </c>
      <c r="D294">
        <v>9.4625419652617998E-4</v>
      </c>
      <c r="E294">
        <f t="shared" si="4"/>
        <v>9.4625419652617998E-4</v>
      </c>
    </row>
    <row r="295" spans="1:5" x14ac:dyDescent="0.25">
      <c r="A295">
        <v>2693</v>
      </c>
      <c r="B295" s="1">
        <v>1.8701388888888888</v>
      </c>
      <c r="C295">
        <v>57.78</v>
      </c>
      <c r="D295">
        <v>9.6304547119597703E-4</v>
      </c>
      <c r="E295">
        <f t="shared" si="4"/>
        <v>9.6304547119597703E-4</v>
      </c>
    </row>
    <row r="296" spans="1:5" x14ac:dyDescent="0.25">
      <c r="A296">
        <v>2694</v>
      </c>
      <c r="B296" s="1">
        <v>1.8708333333333333</v>
      </c>
      <c r="C296">
        <v>58.75</v>
      </c>
      <c r="D296">
        <v>9.7916666666666399E-4</v>
      </c>
      <c r="E296">
        <f t="shared" si="4"/>
        <v>9.7916666666666399E-4</v>
      </c>
    </row>
    <row r="297" spans="1:5" x14ac:dyDescent="0.25">
      <c r="A297">
        <v>2695</v>
      </c>
      <c r="B297" s="1">
        <v>1.8715277777777777</v>
      </c>
      <c r="C297">
        <v>59.67</v>
      </c>
      <c r="D297">
        <v>9.9449509090646397E-4</v>
      </c>
      <c r="E297">
        <f t="shared" si="4"/>
        <v>9.9449509090646397E-4</v>
      </c>
    </row>
    <row r="298" spans="1:5" x14ac:dyDescent="0.25">
      <c r="A298">
        <v>2696</v>
      </c>
      <c r="B298" s="1">
        <v>1.8722222222222222</v>
      </c>
      <c r="C298">
        <v>60.53</v>
      </c>
      <c r="D298">
        <v>1.00891408535135E-3</v>
      </c>
      <c r="E298">
        <f t="shared" si="4"/>
        <v>1.00891408535135E-3</v>
      </c>
    </row>
    <row r="299" spans="1:5" x14ac:dyDescent="0.25">
      <c r="A299">
        <v>2697</v>
      </c>
      <c r="B299" s="1">
        <v>1.8729166666666666</v>
      </c>
      <c r="C299">
        <v>61.34</v>
      </c>
      <c r="D299">
        <v>1.0223139127471901E-3</v>
      </c>
      <c r="E299">
        <f t="shared" si="4"/>
        <v>1.0223139127471901E-3</v>
      </c>
    </row>
    <row r="300" spans="1:5" x14ac:dyDescent="0.25">
      <c r="A300">
        <v>2698</v>
      </c>
      <c r="B300" s="1">
        <v>1.8736111111111111</v>
      </c>
      <c r="C300">
        <v>62.08</v>
      </c>
      <c r="D300">
        <v>1.03459259231645E-3</v>
      </c>
      <c r="E300">
        <f t="shared" si="4"/>
        <v>1.03459259231645E-3</v>
      </c>
    </row>
    <row r="301" spans="1:5" x14ac:dyDescent="0.25">
      <c r="A301">
        <v>2699</v>
      </c>
      <c r="B301" s="1">
        <v>1.8743055555555554</v>
      </c>
      <c r="C301">
        <v>62.74</v>
      </c>
      <c r="D301">
        <v>1.04565667589353E-3</v>
      </c>
      <c r="E301">
        <f t="shared" si="4"/>
        <v>1.04565667589353E-3</v>
      </c>
    </row>
    <row r="302" spans="1:5" x14ac:dyDescent="0.25">
      <c r="A302">
        <v>2700</v>
      </c>
      <c r="B302" s="1">
        <v>1.875</v>
      </c>
      <c r="C302">
        <v>63.33</v>
      </c>
      <c r="D302">
        <v>1.0554219591217501E-3</v>
      </c>
      <c r="E302">
        <f t="shared" si="4"/>
        <v>1.0554219591217501E-3</v>
      </c>
    </row>
    <row r="303" spans="1:5" x14ac:dyDescent="0.25">
      <c r="A303">
        <v>2701</v>
      </c>
      <c r="B303" s="1">
        <v>1.8756944444444446</v>
      </c>
      <c r="C303">
        <v>63.83</v>
      </c>
      <c r="D303">
        <v>1.0638141222993E-3</v>
      </c>
      <c r="E303">
        <f t="shared" si="4"/>
        <v>1.0638141222993E-3</v>
      </c>
    </row>
    <row r="304" spans="1:5" x14ac:dyDescent="0.25">
      <c r="A304">
        <v>2702</v>
      </c>
      <c r="B304" s="1">
        <v>1.8763888888888889</v>
      </c>
      <c r="C304">
        <v>64.25</v>
      </c>
      <c r="D304">
        <v>1.07076929599706E-3</v>
      </c>
      <c r="E304">
        <f t="shared" si="4"/>
        <v>1.07076929599706E-3</v>
      </c>
    </row>
    <row r="305" spans="1:5" x14ac:dyDescent="0.25">
      <c r="A305">
        <v>2703</v>
      </c>
      <c r="B305" s="1">
        <v>1.8770833333333334</v>
      </c>
      <c r="C305">
        <v>64.569999999999993</v>
      </c>
      <c r="D305">
        <v>1.07623454714355E-3</v>
      </c>
      <c r="E305">
        <f t="shared" si="4"/>
        <v>1.07623454714355E-3</v>
      </c>
    </row>
    <row r="306" spans="1:5" x14ac:dyDescent="0.25">
      <c r="A306">
        <v>2704</v>
      </c>
      <c r="B306" s="1">
        <v>1.8777777777777778</v>
      </c>
      <c r="C306">
        <v>64.81</v>
      </c>
      <c r="D306">
        <v>1.08016828187754E-3</v>
      </c>
      <c r="E306">
        <f t="shared" si="4"/>
        <v>1.08016828187754E-3</v>
      </c>
    </row>
    <row r="307" spans="1:5" x14ac:dyDescent="0.25">
      <c r="A307">
        <v>2705</v>
      </c>
      <c r="B307" s="1">
        <v>1.8784722222222223</v>
      </c>
      <c r="C307">
        <v>64.95</v>
      </c>
      <c r="D307">
        <v>1.08254056210244E-3</v>
      </c>
      <c r="E307">
        <f t="shared" si="4"/>
        <v>1.08254056210244E-3</v>
      </c>
    </row>
    <row r="308" spans="1:5" x14ac:dyDescent="0.25">
      <c r="A308">
        <v>2706</v>
      </c>
      <c r="B308" s="1">
        <v>1.8791666666666667</v>
      </c>
      <c r="C308">
        <v>65</v>
      </c>
      <c r="D308">
        <v>1.08333333333333E-3</v>
      </c>
      <c r="E308">
        <f t="shared" si="4"/>
        <v>1.08333333333333E-3</v>
      </c>
    </row>
    <row r="309" spans="1:5" x14ac:dyDescent="0.25">
      <c r="A309">
        <v>2707</v>
      </c>
      <c r="B309" s="1">
        <v>1.8798611111111112</v>
      </c>
      <c r="C309">
        <v>64.959999999999994</v>
      </c>
      <c r="D309">
        <v>1.08271980872412E-3</v>
      </c>
      <c r="E309">
        <f t="shared" si="4"/>
        <v>1.08271980872412E-3</v>
      </c>
    </row>
    <row r="310" spans="1:5" x14ac:dyDescent="0.25">
      <c r="A310">
        <v>2708</v>
      </c>
      <c r="B310" s="1">
        <v>1.8805555555555555</v>
      </c>
      <c r="C310">
        <v>64.849999999999994</v>
      </c>
      <c r="D310">
        <v>1.08088062472708E-3</v>
      </c>
      <c r="E310">
        <f t="shared" si="4"/>
        <v>1.08088062472708E-3</v>
      </c>
    </row>
    <row r="311" spans="1:5" x14ac:dyDescent="0.25">
      <c r="A311">
        <v>2709</v>
      </c>
      <c r="B311" s="1">
        <v>1.8812500000000001</v>
      </c>
      <c r="C311">
        <v>64.67</v>
      </c>
      <c r="D311">
        <v>1.0778199476855E-3</v>
      </c>
      <c r="E311">
        <f t="shared" si="4"/>
        <v>1.0778199476855E-3</v>
      </c>
    </row>
    <row r="312" spans="1:5" x14ac:dyDescent="0.25">
      <c r="A312">
        <v>2710</v>
      </c>
      <c r="B312" s="1">
        <v>1.8819444444444444</v>
      </c>
      <c r="C312">
        <v>64.41</v>
      </c>
      <c r="D312">
        <v>1.0735447110173E-3</v>
      </c>
      <c r="E312">
        <f t="shared" si="4"/>
        <v>1.0735447110173E-3</v>
      </c>
    </row>
    <row r="313" spans="1:5" x14ac:dyDescent="0.25">
      <c r="A313">
        <v>2711</v>
      </c>
      <c r="B313" s="1">
        <v>1.882638888888889</v>
      </c>
      <c r="C313">
        <v>64.08</v>
      </c>
      <c r="D313">
        <v>1.06806459950858E-3</v>
      </c>
      <c r="E313">
        <f t="shared" si="4"/>
        <v>1.06806459950858E-3</v>
      </c>
    </row>
    <row r="314" spans="1:5" x14ac:dyDescent="0.25">
      <c r="A314">
        <v>2712</v>
      </c>
      <c r="B314" s="1">
        <v>1.8833333333333333</v>
      </c>
      <c r="C314">
        <v>63.68</v>
      </c>
      <c r="D314">
        <v>1.06139202737451E-3</v>
      </c>
      <c r="E314">
        <f t="shared" si="4"/>
        <v>1.06139202737451E-3</v>
      </c>
    </row>
    <row r="315" spans="1:5" x14ac:dyDescent="0.25">
      <c r="A315">
        <v>2713</v>
      </c>
      <c r="B315" s="1">
        <v>1.8840277777777779</v>
      </c>
      <c r="C315">
        <v>63.21</v>
      </c>
      <c r="D315">
        <v>1.0535421101371099E-3</v>
      </c>
      <c r="E315">
        <f t="shared" si="4"/>
        <v>1.0535421101371099E-3</v>
      </c>
    </row>
    <row r="316" spans="1:5" x14ac:dyDescent="0.25">
      <c r="A316">
        <v>2714</v>
      </c>
      <c r="B316" s="1">
        <v>1.8847222222222222</v>
      </c>
      <c r="C316">
        <v>62.67</v>
      </c>
      <c r="D316">
        <v>1.0445326303837E-3</v>
      </c>
      <c r="E316">
        <f t="shared" si="4"/>
        <v>1.0445326303837E-3</v>
      </c>
    </row>
    <row r="317" spans="1:5" x14ac:dyDescent="0.25">
      <c r="A317">
        <v>2715</v>
      </c>
      <c r="B317" s="1">
        <v>1.8854166666666667</v>
      </c>
      <c r="C317">
        <v>62.06</v>
      </c>
      <c r="D317">
        <v>1.0343839974836901E-3</v>
      </c>
      <c r="E317">
        <f t="shared" si="4"/>
        <v>1.0343839974836901E-3</v>
      </c>
    </row>
    <row r="318" spans="1:5" x14ac:dyDescent="0.25">
      <c r="A318">
        <v>2716</v>
      </c>
      <c r="B318" s="1">
        <v>1.8861111111111111</v>
      </c>
      <c r="C318">
        <v>61.39</v>
      </c>
      <c r="D318">
        <v>1.02311920135475E-3</v>
      </c>
      <c r="E318">
        <f t="shared" si="4"/>
        <v>1.02311920135475E-3</v>
      </c>
    </row>
    <row r="319" spans="1:5" x14ac:dyDescent="0.25">
      <c r="A319">
        <v>2717</v>
      </c>
      <c r="B319" s="1">
        <v>1.8868055555555556</v>
      </c>
      <c r="C319">
        <v>60.65</v>
      </c>
      <c r="D319">
        <v>1.0107637603832399E-3</v>
      </c>
      <c r="E319">
        <f t="shared" si="4"/>
        <v>1.0107637603832399E-3</v>
      </c>
    </row>
    <row r="320" spans="1:5" x14ac:dyDescent="0.25">
      <c r="A320">
        <v>2718</v>
      </c>
      <c r="B320" s="1">
        <v>1.8875</v>
      </c>
      <c r="C320">
        <v>59.84</v>
      </c>
      <c r="D320">
        <v>9.9734566361689295E-4</v>
      </c>
      <c r="E320">
        <f t="shared" si="4"/>
        <v>9.9734566361689295E-4</v>
      </c>
    </row>
    <row r="321" spans="1:5" x14ac:dyDescent="0.25">
      <c r="A321">
        <v>2719</v>
      </c>
      <c r="B321" s="1">
        <v>1.8881944444444445</v>
      </c>
      <c r="C321">
        <v>58.97</v>
      </c>
      <c r="D321">
        <v>9.8289530736059695E-4</v>
      </c>
      <c r="E321">
        <f t="shared" si="4"/>
        <v>9.8289530736059695E-4</v>
      </c>
    </row>
    <row r="322" spans="1:5" x14ac:dyDescent="0.25">
      <c r="A322">
        <v>2720</v>
      </c>
      <c r="B322" s="1">
        <v>1.8888888888888888</v>
      </c>
      <c r="C322">
        <v>58.05</v>
      </c>
      <c r="D322">
        <v>9.67445426319009E-4</v>
      </c>
      <c r="E322">
        <f t="shared" si="4"/>
        <v>9.67445426319009E-4</v>
      </c>
    </row>
    <row r="323" spans="1:5" x14ac:dyDescent="0.25">
      <c r="A323">
        <v>2721</v>
      </c>
      <c r="B323" s="1">
        <v>1.8895833333333334</v>
      </c>
      <c r="C323">
        <v>57.06</v>
      </c>
      <c r="D323">
        <v>9.5103101944189002E-4</v>
      </c>
      <c r="E323">
        <f t="shared" ref="E323:E386" si="5">D323*$H$3</f>
        <v>9.5103101944189002E-4</v>
      </c>
    </row>
    <row r="324" spans="1:5" x14ac:dyDescent="0.25">
      <c r="A324">
        <v>2722</v>
      </c>
      <c r="B324" s="1">
        <v>1.8902777777777777</v>
      </c>
      <c r="C324">
        <v>56.02</v>
      </c>
      <c r="D324">
        <v>9.33689270640247E-4</v>
      </c>
      <c r="E324">
        <f t="shared" si="5"/>
        <v>9.33689270640247E-4</v>
      </c>
    </row>
    <row r="325" spans="1:5" x14ac:dyDescent="0.25">
      <c r="A325">
        <v>2723</v>
      </c>
      <c r="B325" s="1">
        <v>1.8909722222222223</v>
      </c>
      <c r="C325">
        <v>54.93</v>
      </c>
      <c r="D325">
        <v>9.1545946455281297E-4</v>
      </c>
      <c r="E325">
        <f t="shared" si="5"/>
        <v>9.1545946455281297E-4</v>
      </c>
    </row>
    <row r="326" spans="1:5" x14ac:dyDescent="0.25">
      <c r="A326">
        <v>2724</v>
      </c>
      <c r="B326" s="1">
        <v>1.8916666666666666</v>
      </c>
      <c r="C326">
        <v>53.78</v>
      </c>
      <c r="D326">
        <v>8.9638289755369905E-4</v>
      </c>
      <c r="E326">
        <f t="shared" si="5"/>
        <v>8.9638289755369905E-4</v>
      </c>
    </row>
    <row r="327" spans="1:5" x14ac:dyDescent="0.25">
      <c r="A327">
        <v>2725</v>
      </c>
      <c r="B327" s="1">
        <v>1.8923611111111112</v>
      </c>
      <c r="C327">
        <v>52.59</v>
      </c>
      <c r="D327">
        <v>8.7650278420283204E-4</v>
      </c>
      <c r="E327">
        <f t="shared" si="5"/>
        <v>8.7650278420283204E-4</v>
      </c>
    </row>
    <row r="328" spans="1:5" x14ac:dyDescent="0.25">
      <c r="A328">
        <v>2726</v>
      </c>
      <c r="B328" s="1">
        <v>1.8930555555555555</v>
      </c>
      <c r="C328">
        <v>51.35</v>
      </c>
      <c r="D328">
        <v>8.5586415935107196E-4</v>
      </c>
      <c r="E328">
        <f t="shared" si="5"/>
        <v>8.5586415935107196E-4</v>
      </c>
    </row>
    <row r="329" spans="1:5" x14ac:dyDescent="0.25">
      <c r="A329">
        <v>2727</v>
      </c>
      <c r="B329" s="1">
        <v>1.89375</v>
      </c>
      <c r="C329">
        <v>50.07</v>
      </c>
      <c r="D329">
        <v>8.3451377612177996E-4</v>
      </c>
      <c r="E329">
        <f t="shared" si="5"/>
        <v>8.3451377612177996E-4</v>
      </c>
    </row>
    <row r="330" spans="1:5" x14ac:dyDescent="0.25">
      <c r="A330">
        <v>2728</v>
      </c>
      <c r="B330" s="1">
        <v>1.8944444444444444</v>
      </c>
      <c r="C330">
        <v>48.75</v>
      </c>
      <c r="D330">
        <v>8.1249999999999996E-4</v>
      </c>
      <c r="E330">
        <f t="shared" si="5"/>
        <v>8.1249999999999996E-4</v>
      </c>
    </row>
    <row r="331" spans="1:5" x14ac:dyDescent="0.25">
      <c r="A331">
        <v>2729</v>
      </c>
      <c r="B331" s="1">
        <v>1.8951388888888889</v>
      </c>
      <c r="C331">
        <v>47.39</v>
      </c>
      <c r="D331">
        <v>7.8987269926901504E-4</v>
      </c>
      <c r="E331">
        <f t="shared" si="5"/>
        <v>7.8987269926901504E-4</v>
      </c>
    </row>
    <row r="332" spans="1:5" x14ac:dyDescent="0.25">
      <c r="A332">
        <v>2730</v>
      </c>
      <c r="B332" s="1">
        <v>1.8958333333333333</v>
      </c>
      <c r="C332">
        <v>46</v>
      </c>
      <c r="D332">
        <v>7.6668313204269101E-4</v>
      </c>
      <c r="E332">
        <f t="shared" si="5"/>
        <v>7.6668313204269101E-4</v>
      </c>
    </row>
    <row r="333" spans="1:5" x14ac:dyDescent="0.25">
      <c r="A333">
        <v>2731</v>
      </c>
      <c r="B333" s="1">
        <v>1.8965277777777778</v>
      </c>
      <c r="C333">
        <v>44.58</v>
      </c>
      <c r="D333">
        <v>7.4298383014934804E-4</v>
      </c>
      <c r="E333">
        <f t="shared" si="5"/>
        <v>7.4298383014934804E-4</v>
      </c>
    </row>
    <row r="334" spans="1:5" x14ac:dyDescent="0.25">
      <c r="A334">
        <v>2732</v>
      </c>
      <c r="B334" s="1">
        <v>1.8972222222222221</v>
      </c>
      <c r="C334">
        <v>43.13</v>
      </c>
      <c r="D334">
        <v>7.1882848013027497E-4</v>
      </c>
      <c r="E334">
        <f t="shared" si="5"/>
        <v>7.1882848013027497E-4</v>
      </c>
    </row>
    <row r="335" spans="1:5" x14ac:dyDescent="0.25">
      <c r="A335">
        <v>2733</v>
      </c>
      <c r="B335" s="1">
        <v>1.8979166666666667</v>
      </c>
      <c r="C335">
        <v>41.66</v>
      </c>
      <c r="D335">
        <v>6.9427180162244799E-4</v>
      </c>
      <c r="E335">
        <f t="shared" si="5"/>
        <v>6.9427180162244799E-4</v>
      </c>
    </row>
    <row r="336" spans="1:5" x14ac:dyDescent="0.25">
      <c r="A336">
        <v>2734</v>
      </c>
      <c r="B336" s="1">
        <v>1.898611111111111</v>
      </c>
      <c r="C336">
        <v>40.159999999999997</v>
      </c>
      <c r="D336">
        <v>6.6936942340093699E-4</v>
      </c>
      <c r="E336">
        <f t="shared" si="5"/>
        <v>6.6936942340093699E-4</v>
      </c>
    </row>
    <row r="337" spans="1:5" x14ac:dyDescent="0.25">
      <c r="A337">
        <v>2735</v>
      </c>
      <c r="B337" s="1">
        <v>1.8993055555555556</v>
      </c>
      <c r="C337">
        <v>38.65</v>
      </c>
      <c r="D337">
        <v>6.4417775736188795E-4</v>
      </c>
      <c r="E337">
        <f t="shared" si="5"/>
        <v>6.4417775736188795E-4</v>
      </c>
    </row>
    <row r="338" spans="1:5" x14ac:dyDescent="0.25">
      <c r="A338">
        <v>2736</v>
      </c>
      <c r="B338" s="1">
        <v>1.9</v>
      </c>
      <c r="C338">
        <v>37.130000000000003</v>
      </c>
      <c r="D338">
        <v>6.1875387073136298E-4</v>
      </c>
      <c r="E338">
        <f t="shared" si="5"/>
        <v>6.1875387073136298E-4</v>
      </c>
    </row>
    <row r="339" spans="1:5" x14ac:dyDescent="0.25">
      <c r="A339">
        <v>2737</v>
      </c>
      <c r="B339" s="1">
        <v>1.9006944444444445</v>
      </c>
      <c r="C339">
        <v>35.590000000000003</v>
      </c>
      <c r="D339">
        <v>5.9315535678976803E-4</v>
      </c>
      <c r="E339">
        <f t="shared" si="5"/>
        <v>5.9315535678976803E-4</v>
      </c>
    </row>
    <row r="340" spans="1:5" x14ac:dyDescent="0.25">
      <c r="A340">
        <v>2738</v>
      </c>
      <c r="B340" s="1">
        <v>1.9013888888888888</v>
      </c>
      <c r="C340">
        <v>34.049999999999997</v>
      </c>
      <c r="D340">
        <v>5.6744020440453095E-4</v>
      </c>
      <c r="E340">
        <f t="shared" si="5"/>
        <v>5.6744020440453095E-4</v>
      </c>
    </row>
    <row r="341" spans="1:5" x14ac:dyDescent="0.25">
      <c r="A341">
        <v>2739</v>
      </c>
      <c r="B341" s="1">
        <v>1.9020833333333333</v>
      </c>
      <c r="C341">
        <v>32.5</v>
      </c>
      <c r="D341">
        <v>5.4166666666667195E-4</v>
      </c>
      <c r="E341">
        <f t="shared" si="5"/>
        <v>5.4166666666667195E-4</v>
      </c>
    </row>
    <row r="342" spans="1:5" x14ac:dyDescent="0.25">
      <c r="A342">
        <v>2740</v>
      </c>
      <c r="B342" s="1">
        <v>1.9027777777777777</v>
      </c>
      <c r="C342">
        <v>30.95</v>
      </c>
      <c r="D342">
        <v>5.1589312892881295E-4</v>
      </c>
      <c r="E342">
        <f t="shared" si="5"/>
        <v>5.1589312892881295E-4</v>
      </c>
    </row>
    <row r="343" spans="1:5" x14ac:dyDescent="0.25">
      <c r="A343">
        <v>2741</v>
      </c>
      <c r="B343" s="1">
        <v>1.9034722222222222</v>
      </c>
      <c r="C343">
        <v>29.41</v>
      </c>
      <c r="D343">
        <v>4.9017797654357599E-4</v>
      </c>
      <c r="E343">
        <f t="shared" si="5"/>
        <v>4.9017797654357599E-4</v>
      </c>
    </row>
    <row r="344" spans="1:5" x14ac:dyDescent="0.25">
      <c r="A344">
        <v>2742</v>
      </c>
      <c r="B344" s="1">
        <v>1.9041666666666666</v>
      </c>
      <c r="C344">
        <v>27.87</v>
      </c>
      <c r="D344">
        <v>4.64579462601969E-4</v>
      </c>
      <c r="E344">
        <f t="shared" si="5"/>
        <v>4.64579462601969E-4</v>
      </c>
    </row>
    <row r="345" spans="1:5" x14ac:dyDescent="0.25">
      <c r="A345">
        <v>2743</v>
      </c>
      <c r="B345" s="1">
        <v>1.9048611111111111</v>
      </c>
      <c r="C345">
        <v>26.35</v>
      </c>
      <c r="D345">
        <v>4.3915557597144501E-4</v>
      </c>
      <c r="E345">
        <f t="shared" si="5"/>
        <v>4.3915557597144501E-4</v>
      </c>
    </row>
    <row r="346" spans="1:5" x14ac:dyDescent="0.25">
      <c r="A346">
        <v>2744</v>
      </c>
      <c r="B346" s="1">
        <v>1.9055555555555554</v>
      </c>
      <c r="C346">
        <v>24.84</v>
      </c>
      <c r="D346">
        <v>4.13963909932395E-4</v>
      </c>
      <c r="E346">
        <f t="shared" si="5"/>
        <v>4.13963909932395E-4</v>
      </c>
    </row>
    <row r="347" spans="1:5" x14ac:dyDescent="0.25">
      <c r="A347">
        <v>2745</v>
      </c>
      <c r="B347" s="1">
        <v>1.90625</v>
      </c>
      <c r="C347">
        <v>23.34</v>
      </c>
      <c r="D347">
        <v>3.8906153171089499E-4</v>
      </c>
      <c r="E347">
        <f t="shared" si="5"/>
        <v>3.8906153171089499E-4</v>
      </c>
    </row>
    <row r="348" spans="1:5" x14ac:dyDescent="0.25">
      <c r="A348">
        <v>2746</v>
      </c>
      <c r="B348" s="1">
        <v>1.9069444444444446</v>
      </c>
      <c r="C348">
        <v>21.87</v>
      </c>
      <c r="D348">
        <v>3.6450485320306802E-4</v>
      </c>
      <c r="E348">
        <f t="shared" si="5"/>
        <v>3.6450485320306802E-4</v>
      </c>
    </row>
    <row r="349" spans="1:5" x14ac:dyDescent="0.25">
      <c r="A349">
        <v>2747</v>
      </c>
      <c r="B349" s="1">
        <v>1.9076388888888889</v>
      </c>
      <c r="C349">
        <v>20.420000000000002</v>
      </c>
      <c r="D349">
        <v>3.40349503183995E-4</v>
      </c>
      <c r="E349">
        <f t="shared" si="5"/>
        <v>3.40349503183995E-4</v>
      </c>
    </row>
    <row r="350" spans="1:5" x14ac:dyDescent="0.25">
      <c r="A350">
        <v>2748</v>
      </c>
      <c r="B350" s="1">
        <v>1.9083333333333334</v>
      </c>
      <c r="C350">
        <v>19</v>
      </c>
      <c r="D350">
        <v>3.1665020129065198E-4</v>
      </c>
      <c r="E350">
        <f t="shared" si="5"/>
        <v>3.1665020129065198E-4</v>
      </c>
    </row>
    <row r="351" spans="1:5" x14ac:dyDescent="0.25">
      <c r="A351">
        <v>2749</v>
      </c>
      <c r="B351" s="1">
        <v>1.9090277777777778</v>
      </c>
      <c r="C351">
        <v>17.61</v>
      </c>
      <c r="D351">
        <v>2.9346063406431798E-4</v>
      </c>
      <c r="E351">
        <f t="shared" si="5"/>
        <v>2.9346063406431798E-4</v>
      </c>
    </row>
    <row r="352" spans="1:5" x14ac:dyDescent="0.25">
      <c r="A352">
        <v>2750</v>
      </c>
      <c r="B352" s="1">
        <v>1.9097222222222223</v>
      </c>
      <c r="C352">
        <v>16.25</v>
      </c>
      <c r="D352">
        <v>2.70833333333333E-4</v>
      </c>
      <c r="E352">
        <f t="shared" si="5"/>
        <v>2.70833333333333E-4</v>
      </c>
    </row>
    <row r="353" spans="1:5" x14ac:dyDescent="0.25">
      <c r="A353">
        <v>2751</v>
      </c>
      <c r="B353" s="1">
        <v>1.9104166666666667</v>
      </c>
      <c r="C353">
        <v>0</v>
      </c>
      <c r="D353">
        <v>0</v>
      </c>
      <c r="E353">
        <f t="shared" si="5"/>
        <v>0</v>
      </c>
    </row>
    <row r="354" spans="1:5" x14ac:dyDescent="0.25">
      <c r="A354">
        <v>2752</v>
      </c>
      <c r="B354" s="1">
        <v>1.9111111111111112</v>
      </c>
      <c r="C354">
        <v>0</v>
      </c>
      <c r="D354">
        <v>0</v>
      </c>
      <c r="E354">
        <f t="shared" si="5"/>
        <v>0</v>
      </c>
    </row>
    <row r="355" spans="1:5" x14ac:dyDescent="0.25">
      <c r="A355">
        <v>2753</v>
      </c>
      <c r="B355" s="1">
        <v>1.9118055555555555</v>
      </c>
      <c r="C355">
        <v>0</v>
      </c>
      <c r="D355">
        <v>0</v>
      </c>
      <c r="E355">
        <f t="shared" si="5"/>
        <v>0</v>
      </c>
    </row>
    <row r="356" spans="1:5" x14ac:dyDescent="0.25">
      <c r="A356">
        <v>2754</v>
      </c>
      <c r="B356" s="1">
        <v>1.9125000000000001</v>
      </c>
      <c r="C356">
        <v>0</v>
      </c>
      <c r="D356">
        <v>0</v>
      </c>
      <c r="E356">
        <f t="shared" si="5"/>
        <v>0</v>
      </c>
    </row>
    <row r="357" spans="1:5" x14ac:dyDescent="0.25">
      <c r="A357">
        <v>2755</v>
      </c>
      <c r="B357" s="1">
        <v>1.9131944444444444</v>
      </c>
      <c r="C357">
        <v>0</v>
      </c>
      <c r="D357">
        <v>0</v>
      </c>
      <c r="E357">
        <f t="shared" si="5"/>
        <v>0</v>
      </c>
    </row>
    <row r="358" spans="1:5" x14ac:dyDescent="0.25">
      <c r="A358">
        <v>2756</v>
      </c>
      <c r="B358" s="1">
        <v>1.913888888888889</v>
      </c>
      <c r="C358">
        <v>0</v>
      </c>
      <c r="D358">
        <v>0</v>
      </c>
      <c r="E358">
        <f t="shared" si="5"/>
        <v>0</v>
      </c>
    </row>
    <row r="359" spans="1:5" x14ac:dyDescent="0.25">
      <c r="A359">
        <v>2757</v>
      </c>
      <c r="B359" s="1">
        <v>1.9145833333333333</v>
      </c>
      <c r="C359">
        <v>0</v>
      </c>
      <c r="D359">
        <v>0</v>
      </c>
      <c r="E359">
        <f t="shared" si="5"/>
        <v>0</v>
      </c>
    </row>
    <row r="360" spans="1:5" x14ac:dyDescent="0.25">
      <c r="A360">
        <v>2758</v>
      </c>
      <c r="B360" s="1">
        <v>1.9152777777777779</v>
      </c>
      <c r="C360">
        <v>0</v>
      </c>
      <c r="D360">
        <v>0</v>
      </c>
      <c r="E360">
        <f t="shared" si="5"/>
        <v>0</v>
      </c>
    </row>
    <row r="361" spans="1:5" x14ac:dyDescent="0.25">
      <c r="A361">
        <v>2759</v>
      </c>
      <c r="B361" s="1">
        <v>1.9159722222222222</v>
      </c>
      <c r="C361">
        <v>0</v>
      </c>
      <c r="D361">
        <v>0</v>
      </c>
      <c r="E361">
        <f t="shared" si="5"/>
        <v>0</v>
      </c>
    </row>
    <row r="362" spans="1:5" x14ac:dyDescent="0.25">
      <c r="A362">
        <v>2760</v>
      </c>
      <c r="B362" s="1">
        <v>1.9166666666666667</v>
      </c>
      <c r="C362">
        <v>0</v>
      </c>
      <c r="D362">
        <v>0</v>
      </c>
      <c r="E362">
        <f t="shared" si="5"/>
        <v>0</v>
      </c>
    </row>
    <row r="363" spans="1:5" x14ac:dyDescent="0.25">
      <c r="A363">
        <v>2761</v>
      </c>
      <c r="B363" s="1">
        <v>1.9173611111111111</v>
      </c>
      <c r="C363">
        <v>0</v>
      </c>
      <c r="D363">
        <v>0</v>
      </c>
      <c r="E363">
        <f t="shared" si="5"/>
        <v>0</v>
      </c>
    </row>
    <row r="364" spans="1:5" x14ac:dyDescent="0.25">
      <c r="A364">
        <v>2762</v>
      </c>
      <c r="B364" s="1">
        <v>1.9180555555555556</v>
      </c>
      <c r="C364">
        <v>0</v>
      </c>
      <c r="D364">
        <v>0</v>
      </c>
      <c r="E364">
        <f t="shared" si="5"/>
        <v>0</v>
      </c>
    </row>
    <row r="365" spans="1:5" x14ac:dyDescent="0.25">
      <c r="A365">
        <v>2763</v>
      </c>
      <c r="B365" s="1">
        <v>1.91875</v>
      </c>
      <c r="C365">
        <v>0</v>
      </c>
      <c r="D365">
        <v>0</v>
      </c>
      <c r="E365">
        <f t="shared" si="5"/>
        <v>0</v>
      </c>
    </row>
    <row r="366" spans="1:5" x14ac:dyDescent="0.25">
      <c r="A366">
        <v>2764</v>
      </c>
      <c r="B366" s="1">
        <v>1.9194444444444445</v>
      </c>
      <c r="C366">
        <v>0</v>
      </c>
      <c r="D366">
        <v>0</v>
      </c>
      <c r="E366">
        <f t="shared" si="5"/>
        <v>0</v>
      </c>
    </row>
    <row r="367" spans="1:5" x14ac:dyDescent="0.25">
      <c r="A367">
        <v>2765</v>
      </c>
      <c r="B367" s="1">
        <v>1.9201388888888888</v>
      </c>
      <c r="C367">
        <v>0</v>
      </c>
      <c r="D367">
        <v>0</v>
      </c>
      <c r="E367">
        <f t="shared" si="5"/>
        <v>0</v>
      </c>
    </row>
    <row r="368" spans="1:5" x14ac:dyDescent="0.25">
      <c r="A368">
        <v>2766</v>
      </c>
      <c r="B368" s="1">
        <v>1.9208333333333334</v>
      </c>
      <c r="C368">
        <v>0</v>
      </c>
      <c r="D368">
        <v>0</v>
      </c>
      <c r="E368">
        <f t="shared" si="5"/>
        <v>0</v>
      </c>
    </row>
    <row r="369" spans="1:5" x14ac:dyDescent="0.25">
      <c r="A369">
        <v>2767</v>
      </c>
      <c r="B369" s="1">
        <v>1.9215277777777777</v>
      </c>
      <c r="C369">
        <v>0</v>
      </c>
      <c r="D369">
        <v>0</v>
      </c>
      <c r="E369">
        <f t="shared" si="5"/>
        <v>0</v>
      </c>
    </row>
    <row r="370" spans="1:5" x14ac:dyDescent="0.25">
      <c r="A370">
        <v>2768</v>
      </c>
      <c r="B370" s="1">
        <v>1.9222222222222223</v>
      </c>
      <c r="C370">
        <v>0</v>
      </c>
      <c r="D370">
        <v>0</v>
      </c>
      <c r="E370">
        <f t="shared" si="5"/>
        <v>0</v>
      </c>
    </row>
    <row r="371" spans="1:5" x14ac:dyDescent="0.25">
      <c r="A371">
        <v>2769</v>
      </c>
      <c r="B371" s="1">
        <v>1.9229166666666666</v>
      </c>
      <c r="C371">
        <v>0</v>
      </c>
      <c r="D371">
        <v>0</v>
      </c>
      <c r="E371">
        <f t="shared" si="5"/>
        <v>0</v>
      </c>
    </row>
    <row r="372" spans="1:5" x14ac:dyDescent="0.25">
      <c r="A372">
        <v>2770</v>
      </c>
      <c r="B372" s="1">
        <v>1.9236111111111112</v>
      </c>
      <c r="C372">
        <v>0</v>
      </c>
      <c r="D372">
        <v>0</v>
      </c>
      <c r="E372">
        <f t="shared" si="5"/>
        <v>0</v>
      </c>
    </row>
    <row r="373" spans="1:5" x14ac:dyDescent="0.25">
      <c r="A373">
        <v>2771</v>
      </c>
      <c r="B373" s="1">
        <v>1.9243055555555555</v>
      </c>
      <c r="C373">
        <v>0</v>
      </c>
      <c r="D373">
        <v>0</v>
      </c>
      <c r="E373">
        <f t="shared" si="5"/>
        <v>0</v>
      </c>
    </row>
    <row r="374" spans="1:5" x14ac:dyDescent="0.25">
      <c r="A374">
        <v>2772</v>
      </c>
      <c r="B374" s="1">
        <v>1.925</v>
      </c>
      <c r="C374">
        <v>0</v>
      </c>
      <c r="D374">
        <v>0</v>
      </c>
      <c r="E374">
        <f t="shared" si="5"/>
        <v>0</v>
      </c>
    </row>
    <row r="375" spans="1:5" x14ac:dyDescent="0.25">
      <c r="A375">
        <v>2773</v>
      </c>
      <c r="B375" s="1">
        <v>1.9256944444444444</v>
      </c>
      <c r="C375">
        <v>0</v>
      </c>
      <c r="D375">
        <v>0</v>
      </c>
      <c r="E375">
        <f t="shared" si="5"/>
        <v>0</v>
      </c>
    </row>
    <row r="376" spans="1:5" x14ac:dyDescent="0.25">
      <c r="A376">
        <v>2774</v>
      </c>
      <c r="B376" s="1">
        <v>1.9263888888888889</v>
      </c>
      <c r="C376">
        <v>0</v>
      </c>
      <c r="D376">
        <v>0</v>
      </c>
      <c r="E376">
        <f t="shared" si="5"/>
        <v>0</v>
      </c>
    </row>
    <row r="377" spans="1:5" x14ac:dyDescent="0.25">
      <c r="A377">
        <v>2775</v>
      </c>
      <c r="B377" s="1">
        <v>1.9270833333333333</v>
      </c>
      <c r="C377">
        <v>0</v>
      </c>
      <c r="D377">
        <v>0</v>
      </c>
      <c r="E377">
        <f t="shared" si="5"/>
        <v>0</v>
      </c>
    </row>
    <row r="378" spans="1:5" x14ac:dyDescent="0.25">
      <c r="A378">
        <v>2776</v>
      </c>
      <c r="B378" s="1">
        <v>1.9277777777777778</v>
      </c>
      <c r="C378">
        <v>0</v>
      </c>
      <c r="D378">
        <v>0</v>
      </c>
      <c r="E378">
        <f t="shared" si="5"/>
        <v>0</v>
      </c>
    </row>
    <row r="379" spans="1:5" x14ac:dyDescent="0.25">
      <c r="A379">
        <v>2777</v>
      </c>
      <c r="B379" s="1">
        <v>1.9284722222222221</v>
      </c>
      <c r="C379">
        <v>0</v>
      </c>
      <c r="D379">
        <v>0</v>
      </c>
      <c r="E379">
        <f t="shared" si="5"/>
        <v>0</v>
      </c>
    </row>
    <row r="380" spans="1:5" x14ac:dyDescent="0.25">
      <c r="A380">
        <v>2778</v>
      </c>
      <c r="B380" s="1">
        <v>1.9291666666666667</v>
      </c>
      <c r="C380">
        <v>0</v>
      </c>
      <c r="D380">
        <v>0</v>
      </c>
      <c r="E380">
        <f t="shared" si="5"/>
        <v>0</v>
      </c>
    </row>
    <row r="381" spans="1:5" x14ac:dyDescent="0.25">
      <c r="A381">
        <v>2779</v>
      </c>
      <c r="B381" s="1">
        <v>1.929861111111111</v>
      </c>
      <c r="C381">
        <v>0</v>
      </c>
      <c r="D381">
        <v>0</v>
      </c>
      <c r="E381">
        <f t="shared" si="5"/>
        <v>0</v>
      </c>
    </row>
    <row r="382" spans="1:5" x14ac:dyDescent="0.25">
      <c r="A382">
        <v>2780</v>
      </c>
      <c r="B382" s="1">
        <v>1.9305555555555556</v>
      </c>
      <c r="C382">
        <v>0</v>
      </c>
      <c r="D382">
        <v>0</v>
      </c>
      <c r="E382">
        <f t="shared" si="5"/>
        <v>0</v>
      </c>
    </row>
    <row r="383" spans="1:5" x14ac:dyDescent="0.25">
      <c r="A383">
        <v>2781</v>
      </c>
      <c r="B383" s="1">
        <v>1.9312499999999999</v>
      </c>
      <c r="C383">
        <v>0</v>
      </c>
      <c r="D383">
        <v>0</v>
      </c>
      <c r="E383">
        <f t="shared" si="5"/>
        <v>0</v>
      </c>
    </row>
    <row r="384" spans="1:5" x14ac:dyDescent="0.25">
      <c r="A384">
        <v>2782</v>
      </c>
      <c r="B384" s="1">
        <v>1.9319444444444445</v>
      </c>
      <c r="C384">
        <v>0</v>
      </c>
      <c r="D384">
        <v>0</v>
      </c>
      <c r="E384">
        <f t="shared" si="5"/>
        <v>0</v>
      </c>
    </row>
    <row r="385" spans="1:5" x14ac:dyDescent="0.25">
      <c r="A385">
        <v>2783</v>
      </c>
      <c r="B385" s="1">
        <v>1.9326388888888888</v>
      </c>
      <c r="C385">
        <v>0</v>
      </c>
      <c r="D385">
        <v>0</v>
      </c>
      <c r="E385">
        <f t="shared" si="5"/>
        <v>0</v>
      </c>
    </row>
    <row r="386" spans="1:5" x14ac:dyDescent="0.25">
      <c r="A386">
        <v>2784</v>
      </c>
      <c r="B386" s="1">
        <v>1.9333333333333333</v>
      </c>
      <c r="C386">
        <v>0</v>
      </c>
      <c r="D386">
        <v>0</v>
      </c>
      <c r="E386">
        <f t="shared" si="5"/>
        <v>0</v>
      </c>
    </row>
    <row r="387" spans="1:5" x14ac:dyDescent="0.25">
      <c r="A387">
        <v>2785</v>
      </c>
      <c r="B387" s="1">
        <v>1.9340277777777777</v>
      </c>
      <c r="C387">
        <v>0</v>
      </c>
      <c r="D387">
        <v>0</v>
      </c>
      <c r="E387">
        <f t="shared" ref="E387:E450" si="6">D387*$H$3</f>
        <v>0</v>
      </c>
    </row>
    <row r="388" spans="1:5" x14ac:dyDescent="0.25">
      <c r="A388">
        <v>2786</v>
      </c>
      <c r="B388" s="1">
        <v>1.9347222222222222</v>
      </c>
      <c r="C388">
        <v>0</v>
      </c>
      <c r="D388">
        <v>0</v>
      </c>
      <c r="E388">
        <f t="shared" si="6"/>
        <v>0</v>
      </c>
    </row>
    <row r="389" spans="1:5" x14ac:dyDescent="0.25">
      <c r="A389">
        <v>2787</v>
      </c>
      <c r="B389" s="1">
        <v>1.9354166666666666</v>
      </c>
      <c r="C389">
        <v>0</v>
      </c>
      <c r="D389">
        <v>0</v>
      </c>
      <c r="E389">
        <f t="shared" si="6"/>
        <v>0</v>
      </c>
    </row>
    <row r="390" spans="1:5" x14ac:dyDescent="0.25">
      <c r="A390">
        <v>2788</v>
      </c>
      <c r="B390" s="1">
        <v>1.9361111111111111</v>
      </c>
      <c r="C390">
        <v>0</v>
      </c>
      <c r="D390">
        <v>0</v>
      </c>
      <c r="E390">
        <f t="shared" si="6"/>
        <v>0</v>
      </c>
    </row>
    <row r="391" spans="1:5" x14ac:dyDescent="0.25">
      <c r="A391">
        <v>2789</v>
      </c>
      <c r="B391" s="1">
        <v>1.9368055555555554</v>
      </c>
      <c r="C391">
        <v>0</v>
      </c>
      <c r="D391">
        <v>0</v>
      </c>
      <c r="E391">
        <f t="shared" si="6"/>
        <v>0</v>
      </c>
    </row>
    <row r="392" spans="1:5" x14ac:dyDescent="0.25">
      <c r="A392">
        <v>2790</v>
      </c>
      <c r="B392" s="1">
        <v>1.9375</v>
      </c>
      <c r="C392">
        <v>0</v>
      </c>
      <c r="D392">
        <v>0</v>
      </c>
      <c r="E392">
        <f t="shared" si="6"/>
        <v>0</v>
      </c>
    </row>
    <row r="393" spans="1:5" x14ac:dyDescent="0.25">
      <c r="A393">
        <v>2791</v>
      </c>
      <c r="B393" s="1">
        <v>1.9381944444444446</v>
      </c>
      <c r="C393">
        <v>0</v>
      </c>
      <c r="D393">
        <v>0</v>
      </c>
      <c r="E393">
        <f t="shared" si="6"/>
        <v>0</v>
      </c>
    </row>
    <row r="394" spans="1:5" x14ac:dyDescent="0.25">
      <c r="A394">
        <v>2792</v>
      </c>
      <c r="B394" s="1">
        <v>1.9388888888888889</v>
      </c>
      <c r="C394">
        <v>0</v>
      </c>
      <c r="D394">
        <v>0</v>
      </c>
      <c r="E394">
        <f t="shared" si="6"/>
        <v>0</v>
      </c>
    </row>
    <row r="395" spans="1:5" x14ac:dyDescent="0.25">
      <c r="A395">
        <v>2793</v>
      </c>
      <c r="B395" s="1">
        <v>1.9395833333333334</v>
      </c>
      <c r="C395">
        <v>0</v>
      </c>
      <c r="D395">
        <v>0</v>
      </c>
      <c r="E395">
        <f t="shared" si="6"/>
        <v>0</v>
      </c>
    </row>
    <row r="396" spans="1:5" x14ac:dyDescent="0.25">
      <c r="A396">
        <v>2794</v>
      </c>
      <c r="B396" s="1">
        <v>1.9402777777777778</v>
      </c>
      <c r="C396">
        <v>0</v>
      </c>
      <c r="D396">
        <v>0</v>
      </c>
      <c r="E396">
        <f t="shared" si="6"/>
        <v>0</v>
      </c>
    </row>
    <row r="397" spans="1:5" x14ac:dyDescent="0.25">
      <c r="A397">
        <v>2795</v>
      </c>
      <c r="B397" s="1">
        <v>1.9409722222222223</v>
      </c>
      <c r="C397">
        <v>0</v>
      </c>
      <c r="D397">
        <v>0</v>
      </c>
      <c r="E397">
        <f t="shared" si="6"/>
        <v>0</v>
      </c>
    </row>
    <row r="398" spans="1:5" x14ac:dyDescent="0.25">
      <c r="A398">
        <v>2796</v>
      </c>
      <c r="B398" s="1">
        <v>1.9416666666666667</v>
      </c>
      <c r="C398">
        <v>0</v>
      </c>
      <c r="D398">
        <v>0</v>
      </c>
      <c r="E398">
        <f t="shared" si="6"/>
        <v>0</v>
      </c>
    </row>
    <row r="399" spans="1:5" x14ac:dyDescent="0.25">
      <c r="A399">
        <v>2797</v>
      </c>
      <c r="B399" s="1">
        <v>1.9423611111111112</v>
      </c>
      <c r="C399">
        <v>0</v>
      </c>
      <c r="D399">
        <v>0</v>
      </c>
      <c r="E399">
        <f t="shared" si="6"/>
        <v>0</v>
      </c>
    </row>
    <row r="400" spans="1:5" x14ac:dyDescent="0.25">
      <c r="A400">
        <v>2798</v>
      </c>
      <c r="B400" s="1">
        <v>1.9430555555555555</v>
      </c>
      <c r="C400">
        <v>0</v>
      </c>
      <c r="D400">
        <v>0</v>
      </c>
      <c r="E400">
        <f t="shared" si="6"/>
        <v>0</v>
      </c>
    </row>
    <row r="401" spans="1:5" x14ac:dyDescent="0.25">
      <c r="A401">
        <v>2799</v>
      </c>
      <c r="B401" s="1">
        <v>1.9437500000000001</v>
      </c>
      <c r="C401">
        <v>0</v>
      </c>
      <c r="D401">
        <v>0</v>
      </c>
      <c r="E401">
        <f t="shared" si="6"/>
        <v>0</v>
      </c>
    </row>
    <row r="402" spans="1:5" x14ac:dyDescent="0.25">
      <c r="A402">
        <v>2800</v>
      </c>
      <c r="B402" s="1">
        <v>1.9444444444444444</v>
      </c>
      <c r="C402">
        <v>0</v>
      </c>
      <c r="D402">
        <v>0</v>
      </c>
      <c r="E402">
        <f t="shared" si="6"/>
        <v>0</v>
      </c>
    </row>
    <row r="403" spans="1:5" x14ac:dyDescent="0.25">
      <c r="A403">
        <v>2801</v>
      </c>
      <c r="B403" s="1">
        <v>1.945138888888889</v>
      </c>
      <c r="C403">
        <v>0</v>
      </c>
      <c r="D403">
        <v>0</v>
      </c>
      <c r="E403">
        <f t="shared" si="6"/>
        <v>0</v>
      </c>
    </row>
    <row r="404" spans="1:5" x14ac:dyDescent="0.25">
      <c r="A404">
        <v>2802</v>
      </c>
      <c r="B404" s="1">
        <v>1.9458333333333333</v>
      </c>
      <c r="C404">
        <v>0</v>
      </c>
      <c r="D404">
        <v>0</v>
      </c>
      <c r="E404">
        <f t="shared" si="6"/>
        <v>0</v>
      </c>
    </row>
    <row r="405" spans="1:5" x14ac:dyDescent="0.25">
      <c r="A405">
        <v>2803</v>
      </c>
      <c r="B405" s="1">
        <v>1.9465277777777779</v>
      </c>
      <c r="C405">
        <v>0</v>
      </c>
      <c r="D405">
        <v>0</v>
      </c>
      <c r="E405">
        <f t="shared" si="6"/>
        <v>0</v>
      </c>
    </row>
    <row r="406" spans="1:5" x14ac:dyDescent="0.25">
      <c r="A406">
        <v>2804</v>
      </c>
      <c r="B406" s="1">
        <v>1.9472222222222222</v>
      </c>
      <c r="C406">
        <v>0</v>
      </c>
      <c r="D406">
        <v>0</v>
      </c>
      <c r="E406">
        <f t="shared" si="6"/>
        <v>0</v>
      </c>
    </row>
    <row r="407" spans="1:5" x14ac:dyDescent="0.25">
      <c r="A407">
        <v>2805</v>
      </c>
      <c r="B407" s="1">
        <v>1.9479166666666667</v>
      </c>
      <c r="C407">
        <v>0</v>
      </c>
      <c r="D407">
        <v>0</v>
      </c>
      <c r="E407">
        <f t="shared" si="6"/>
        <v>0</v>
      </c>
    </row>
    <row r="408" spans="1:5" x14ac:dyDescent="0.25">
      <c r="A408">
        <v>2806</v>
      </c>
      <c r="B408" s="1">
        <v>1.9486111111111111</v>
      </c>
      <c r="C408">
        <v>0</v>
      </c>
      <c r="D408">
        <v>0</v>
      </c>
      <c r="E408">
        <f t="shared" si="6"/>
        <v>0</v>
      </c>
    </row>
    <row r="409" spans="1:5" x14ac:dyDescent="0.25">
      <c r="A409">
        <v>2807</v>
      </c>
      <c r="B409" s="1">
        <v>1.9493055555555556</v>
      </c>
      <c r="C409">
        <v>0</v>
      </c>
      <c r="D409">
        <v>0</v>
      </c>
      <c r="E409">
        <f t="shared" si="6"/>
        <v>0</v>
      </c>
    </row>
    <row r="410" spans="1:5" x14ac:dyDescent="0.25">
      <c r="A410">
        <v>2808</v>
      </c>
      <c r="B410" s="1">
        <v>1.95</v>
      </c>
      <c r="C410">
        <v>0</v>
      </c>
      <c r="D410">
        <v>0</v>
      </c>
      <c r="E410">
        <f t="shared" si="6"/>
        <v>0</v>
      </c>
    </row>
    <row r="411" spans="1:5" x14ac:dyDescent="0.25">
      <c r="A411">
        <v>2809</v>
      </c>
      <c r="B411" s="1">
        <v>1.9506944444444445</v>
      </c>
      <c r="C411">
        <v>0</v>
      </c>
      <c r="D411">
        <v>0</v>
      </c>
      <c r="E411">
        <f t="shared" si="6"/>
        <v>0</v>
      </c>
    </row>
    <row r="412" spans="1:5" x14ac:dyDescent="0.25">
      <c r="A412">
        <v>2810</v>
      </c>
      <c r="B412" s="1">
        <v>1.9513888888888888</v>
      </c>
      <c r="C412">
        <v>0</v>
      </c>
      <c r="D412">
        <v>0</v>
      </c>
      <c r="E412">
        <f t="shared" si="6"/>
        <v>0</v>
      </c>
    </row>
    <row r="413" spans="1:5" x14ac:dyDescent="0.25">
      <c r="A413">
        <v>2811</v>
      </c>
      <c r="B413" s="1">
        <v>1.9520833333333334</v>
      </c>
      <c r="C413">
        <v>0</v>
      </c>
      <c r="D413">
        <v>0</v>
      </c>
      <c r="E413">
        <f t="shared" si="6"/>
        <v>0</v>
      </c>
    </row>
    <row r="414" spans="1:5" x14ac:dyDescent="0.25">
      <c r="A414">
        <v>2812</v>
      </c>
      <c r="B414" s="1">
        <v>1.9527777777777777</v>
      </c>
      <c r="C414">
        <v>0</v>
      </c>
      <c r="D414">
        <v>0</v>
      </c>
      <c r="E414">
        <f t="shared" si="6"/>
        <v>0</v>
      </c>
    </row>
    <row r="415" spans="1:5" x14ac:dyDescent="0.25">
      <c r="A415">
        <v>2813</v>
      </c>
      <c r="B415" s="1">
        <v>1.9534722222222223</v>
      </c>
      <c r="C415">
        <v>0</v>
      </c>
      <c r="D415">
        <v>0</v>
      </c>
      <c r="E415">
        <f t="shared" si="6"/>
        <v>0</v>
      </c>
    </row>
    <row r="416" spans="1:5" x14ac:dyDescent="0.25">
      <c r="A416">
        <v>2814</v>
      </c>
      <c r="B416" s="1">
        <v>1.9541666666666666</v>
      </c>
      <c r="C416">
        <v>0</v>
      </c>
      <c r="D416">
        <v>0</v>
      </c>
      <c r="E416">
        <f t="shared" si="6"/>
        <v>0</v>
      </c>
    </row>
    <row r="417" spans="1:5" x14ac:dyDescent="0.25">
      <c r="A417">
        <v>2815</v>
      </c>
      <c r="B417" s="1">
        <v>1.9548611111111112</v>
      </c>
      <c r="C417">
        <v>0</v>
      </c>
      <c r="D417">
        <v>0</v>
      </c>
      <c r="E417">
        <f t="shared" si="6"/>
        <v>0</v>
      </c>
    </row>
    <row r="418" spans="1:5" x14ac:dyDescent="0.25">
      <c r="A418">
        <v>2816</v>
      </c>
      <c r="B418" s="1">
        <v>1.9555555555555555</v>
      </c>
      <c r="C418">
        <v>0</v>
      </c>
      <c r="D418">
        <v>0</v>
      </c>
      <c r="E418">
        <f t="shared" si="6"/>
        <v>0</v>
      </c>
    </row>
    <row r="419" spans="1:5" x14ac:dyDescent="0.25">
      <c r="A419">
        <v>2817</v>
      </c>
      <c r="B419" s="1">
        <v>1.95625</v>
      </c>
      <c r="C419">
        <v>0</v>
      </c>
      <c r="D419">
        <v>0</v>
      </c>
      <c r="E419">
        <f t="shared" si="6"/>
        <v>0</v>
      </c>
    </row>
    <row r="420" spans="1:5" x14ac:dyDescent="0.25">
      <c r="A420">
        <v>2818</v>
      </c>
      <c r="B420" s="1">
        <v>1.9569444444444444</v>
      </c>
      <c r="C420">
        <v>0</v>
      </c>
      <c r="D420">
        <v>0</v>
      </c>
      <c r="E420">
        <f t="shared" si="6"/>
        <v>0</v>
      </c>
    </row>
    <row r="421" spans="1:5" x14ac:dyDescent="0.25">
      <c r="A421">
        <v>2819</v>
      </c>
      <c r="B421" s="1">
        <v>1.9576388888888889</v>
      </c>
      <c r="C421">
        <v>0</v>
      </c>
      <c r="D421">
        <v>0</v>
      </c>
      <c r="E421">
        <f t="shared" si="6"/>
        <v>0</v>
      </c>
    </row>
    <row r="422" spans="1:5" x14ac:dyDescent="0.25">
      <c r="A422">
        <v>2820</v>
      </c>
      <c r="B422" s="1">
        <v>1.9583333333333333</v>
      </c>
      <c r="C422">
        <v>0</v>
      </c>
      <c r="D422">
        <v>0</v>
      </c>
      <c r="E422">
        <f t="shared" si="6"/>
        <v>0</v>
      </c>
    </row>
    <row r="423" spans="1:5" x14ac:dyDescent="0.25">
      <c r="A423">
        <v>2821</v>
      </c>
      <c r="B423" s="1">
        <v>1.9590277777777778</v>
      </c>
      <c r="C423">
        <v>0</v>
      </c>
      <c r="D423">
        <v>0</v>
      </c>
      <c r="E423">
        <f t="shared" si="6"/>
        <v>0</v>
      </c>
    </row>
    <row r="424" spans="1:5" x14ac:dyDescent="0.25">
      <c r="A424">
        <v>2822</v>
      </c>
      <c r="B424" s="1">
        <v>1.9597222222222221</v>
      </c>
      <c r="C424">
        <v>0</v>
      </c>
      <c r="D424">
        <v>0</v>
      </c>
      <c r="E424">
        <f t="shared" si="6"/>
        <v>0</v>
      </c>
    </row>
    <row r="425" spans="1:5" x14ac:dyDescent="0.25">
      <c r="A425">
        <v>2823</v>
      </c>
      <c r="B425" s="1">
        <v>1.9604166666666667</v>
      </c>
      <c r="C425">
        <v>0</v>
      </c>
      <c r="D425">
        <v>0</v>
      </c>
      <c r="E425">
        <f t="shared" si="6"/>
        <v>0</v>
      </c>
    </row>
    <row r="426" spans="1:5" x14ac:dyDescent="0.25">
      <c r="A426">
        <v>2824</v>
      </c>
      <c r="B426" s="1">
        <v>1.961111111111111</v>
      </c>
      <c r="C426">
        <v>0</v>
      </c>
      <c r="D426">
        <v>0</v>
      </c>
      <c r="E426">
        <f t="shared" si="6"/>
        <v>0</v>
      </c>
    </row>
    <row r="427" spans="1:5" x14ac:dyDescent="0.25">
      <c r="A427">
        <v>2825</v>
      </c>
      <c r="B427" s="1">
        <v>1.9618055555555556</v>
      </c>
      <c r="C427">
        <v>0</v>
      </c>
      <c r="D427">
        <v>0</v>
      </c>
      <c r="E427">
        <f t="shared" si="6"/>
        <v>0</v>
      </c>
    </row>
    <row r="428" spans="1:5" x14ac:dyDescent="0.25">
      <c r="A428">
        <v>2826</v>
      </c>
      <c r="B428" s="1">
        <v>1.9624999999999999</v>
      </c>
      <c r="C428">
        <v>0</v>
      </c>
      <c r="D428">
        <v>0</v>
      </c>
      <c r="E428">
        <f t="shared" si="6"/>
        <v>0</v>
      </c>
    </row>
    <row r="429" spans="1:5" x14ac:dyDescent="0.25">
      <c r="A429">
        <v>2827</v>
      </c>
      <c r="B429" s="1">
        <v>1.9631944444444445</v>
      </c>
      <c r="C429">
        <v>0</v>
      </c>
      <c r="D429">
        <v>0</v>
      </c>
      <c r="E429">
        <f t="shared" si="6"/>
        <v>0</v>
      </c>
    </row>
    <row r="430" spans="1:5" x14ac:dyDescent="0.25">
      <c r="A430">
        <v>2828</v>
      </c>
      <c r="B430" s="1">
        <v>1.9638888888888888</v>
      </c>
      <c r="C430">
        <v>0</v>
      </c>
      <c r="D430">
        <v>0</v>
      </c>
      <c r="E430">
        <f t="shared" si="6"/>
        <v>0</v>
      </c>
    </row>
    <row r="431" spans="1:5" x14ac:dyDescent="0.25">
      <c r="A431">
        <v>2829</v>
      </c>
      <c r="B431" s="1">
        <v>1.9645833333333333</v>
      </c>
      <c r="C431">
        <v>0</v>
      </c>
      <c r="D431">
        <v>0</v>
      </c>
      <c r="E431">
        <f t="shared" si="6"/>
        <v>0</v>
      </c>
    </row>
    <row r="432" spans="1:5" x14ac:dyDescent="0.25">
      <c r="A432">
        <v>2830</v>
      </c>
      <c r="B432" s="1">
        <v>1.9652777777777777</v>
      </c>
      <c r="C432">
        <v>0</v>
      </c>
      <c r="D432">
        <v>0</v>
      </c>
      <c r="E432">
        <f t="shared" si="6"/>
        <v>0</v>
      </c>
    </row>
    <row r="433" spans="1:5" x14ac:dyDescent="0.25">
      <c r="A433">
        <v>2831</v>
      </c>
      <c r="B433" s="1">
        <v>1.9659722222222222</v>
      </c>
      <c r="C433">
        <v>0</v>
      </c>
      <c r="D433">
        <v>0</v>
      </c>
      <c r="E433">
        <f t="shared" si="6"/>
        <v>0</v>
      </c>
    </row>
    <row r="434" spans="1:5" x14ac:dyDescent="0.25">
      <c r="A434">
        <v>2832</v>
      </c>
      <c r="B434" s="1">
        <v>1.9666666666666666</v>
      </c>
      <c r="C434">
        <v>0</v>
      </c>
      <c r="D434">
        <v>0</v>
      </c>
      <c r="E434">
        <f t="shared" si="6"/>
        <v>0</v>
      </c>
    </row>
    <row r="435" spans="1:5" x14ac:dyDescent="0.25">
      <c r="A435">
        <v>2833</v>
      </c>
      <c r="B435" s="1">
        <v>1.9673611111111111</v>
      </c>
      <c r="C435">
        <v>0</v>
      </c>
      <c r="D435">
        <v>0</v>
      </c>
      <c r="E435">
        <f t="shared" si="6"/>
        <v>0</v>
      </c>
    </row>
    <row r="436" spans="1:5" x14ac:dyDescent="0.25">
      <c r="A436">
        <v>2834</v>
      </c>
      <c r="B436" s="1">
        <v>1.9680555555555554</v>
      </c>
      <c r="C436">
        <v>0</v>
      </c>
      <c r="D436">
        <v>0</v>
      </c>
      <c r="E436">
        <f t="shared" si="6"/>
        <v>0</v>
      </c>
    </row>
    <row r="437" spans="1:5" x14ac:dyDescent="0.25">
      <c r="A437">
        <v>2835</v>
      </c>
      <c r="B437" s="1">
        <v>1.96875</v>
      </c>
      <c r="C437">
        <v>0</v>
      </c>
      <c r="D437">
        <v>0</v>
      </c>
      <c r="E437">
        <f t="shared" si="6"/>
        <v>0</v>
      </c>
    </row>
    <row r="438" spans="1:5" x14ac:dyDescent="0.25">
      <c r="A438">
        <v>2836</v>
      </c>
      <c r="B438" s="1">
        <v>1.9694444444444446</v>
      </c>
      <c r="C438">
        <v>0</v>
      </c>
      <c r="D438">
        <v>0</v>
      </c>
      <c r="E438">
        <f t="shared" si="6"/>
        <v>0</v>
      </c>
    </row>
    <row r="439" spans="1:5" x14ac:dyDescent="0.25">
      <c r="A439">
        <v>2837</v>
      </c>
      <c r="B439" s="1">
        <v>1.9701388888888889</v>
      </c>
      <c r="C439">
        <v>0</v>
      </c>
      <c r="D439">
        <v>0</v>
      </c>
      <c r="E439">
        <f t="shared" si="6"/>
        <v>0</v>
      </c>
    </row>
    <row r="440" spans="1:5" x14ac:dyDescent="0.25">
      <c r="A440">
        <v>2838</v>
      </c>
      <c r="B440" s="1">
        <v>1.9708333333333334</v>
      </c>
      <c r="C440">
        <v>0</v>
      </c>
      <c r="D440">
        <v>0</v>
      </c>
      <c r="E440">
        <f t="shared" si="6"/>
        <v>0</v>
      </c>
    </row>
    <row r="441" spans="1:5" x14ac:dyDescent="0.25">
      <c r="A441">
        <v>2839</v>
      </c>
      <c r="B441" s="1">
        <v>1.9715277777777778</v>
      </c>
      <c r="C441">
        <v>0</v>
      </c>
      <c r="D441">
        <v>0</v>
      </c>
      <c r="E441">
        <f t="shared" si="6"/>
        <v>0</v>
      </c>
    </row>
    <row r="442" spans="1:5" x14ac:dyDescent="0.25">
      <c r="A442">
        <v>2840</v>
      </c>
      <c r="B442" s="1">
        <v>1.9722222222222223</v>
      </c>
      <c r="C442">
        <v>0</v>
      </c>
      <c r="D442">
        <v>0</v>
      </c>
      <c r="E442">
        <f t="shared" si="6"/>
        <v>0</v>
      </c>
    </row>
    <row r="443" spans="1:5" x14ac:dyDescent="0.25">
      <c r="A443">
        <v>2841</v>
      </c>
      <c r="B443" s="1">
        <v>1.9729166666666667</v>
      </c>
      <c r="C443">
        <v>0</v>
      </c>
      <c r="D443">
        <v>0</v>
      </c>
      <c r="E443">
        <f t="shared" si="6"/>
        <v>0</v>
      </c>
    </row>
    <row r="444" spans="1:5" x14ac:dyDescent="0.25">
      <c r="A444">
        <v>2842</v>
      </c>
      <c r="B444" s="1">
        <v>1.9736111111111112</v>
      </c>
      <c r="C444">
        <v>0</v>
      </c>
      <c r="D444">
        <v>0</v>
      </c>
      <c r="E444">
        <f t="shared" si="6"/>
        <v>0</v>
      </c>
    </row>
    <row r="445" spans="1:5" x14ac:dyDescent="0.25">
      <c r="A445">
        <v>2843</v>
      </c>
      <c r="B445" s="1">
        <v>1.9743055555555555</v>
      </c>
      <c r="C445">
        <v>0</v>
      </c>
      <c r="D445">
        <v>0</v>
      </c>
      <c r="E445">
        <f t="shared" si="6"/>
        <v>0</v>
      </c>
    </row>
    <row r="446" spans="1:5" x14ac:dyDescent="0.25">
      <c r="A446">
        <v>2844</v>
      </c>
      <c r="B446" s="1">
        <v>1.9750000000000001</v>
      </c>
      <c r="C446">
        <v>0</v>
      </c>
      <c r="D446">
        <v>0</v>
      </c>
      <c r="E446">
        <f t="shared" si="6"/>
        <v>0</v>
      </c>
    </row>
    <row r="447" spans="1:5" x14ac:dyDescent="0.25">
      <c r="A447">
        <v>2845</v>
      </c>
      <c r="B447" s="1">
        <v>1.9756944444444444</v>
      </c>
      <c r="C447">
        <v>0</v>
      </c>
      <c r="D447">
        <v>0</v>
      </c>
      <c r="E447">
        <f t="shared" si="6"/>
        <v>0</v>
      </c>
    </row>
    <row r="448" spans="1:5" x14ac:dyDescent="0.25">
      <c r="A448">
        <v>2846</v>
      </c>
      <c r="B448" s="1">
        <v>1.976388888888889</v>
      </c>
      <c r="C448">
        <v>0</v>
      </c>
      <c r="D448">
        <v>0</v>
      </c>
      <c r="E448">
        <f t="shared" si="6"/>
        <v>0</v>
      </c>
    </row>
    <row r="449" spans="1:5" x14ac:dyDescent="0.25">
      <c r="A449">
        <v>2847</v>
      </c>
      <c r="B449" s="1">
        <v>1.9770833333333333</v>
      </c>
      <c r="C449">
        <v>0</v>
      </c>
      <c r="D449">
        <v>0</v>
      </c>
      <c r="E449">
        <f t="shared" si="6"/>
        <v>0</v>
      </c>
    </row>
    <row r="450" spans="1:5" x14ac:dyDescent="0.25">
      <c r="A450">
        <v>2848</v>
      </c>
      <c r="B450" s="1">
        <v>1.9777777777777779</v>
      </c>
      <c r="C450">
        <v>0</v>
      </c>
      <c r="D450">
        <v>0</v>
      </c>
      <c r="E450">
        <f t="shared" si="6"/>
        <v>0</v>
      </c>
    </row>
    <row r="451" spans="1:5" x14ac:dyDescent="0.25">
      <c r="A451">
        <v>2849</v>
      </c>
      <c r="B451" s="1">
        <v>1.9784722222222222</v>
      </c>
      <c r="C451">
        <v>0</v>
      </c>
      <c r="D451">
        <v>0</v>
      </c>
      <c r="E451">
        <f t="shared" ref="E451:E514" si="7">D451*$H$3</f>
        <v>0</v>
      </c>
    </row>
    <row r="452" spans="1:5" x14ac:dyDescent="0.25">
      <c r="A452">
        <v>2850</v>
      </c>
      <c r="B452" s="1">
        <v>1.9791666666666667</v>
      </c>
      <c r="C452">
        <v>0</v>
      </c>
      <c r="D452">
        <v>0</v>
      </c>
      <c r="E452">
        <f t="shared" si="7"/>
        <v>0</v>
      </c>
    </row>
    <row r="453" spans="1:5" x14ac:dyDescent="0.25">
      <c r="A453">
        <v>2851</v>
      </c>
      <c r="B453" s="1">
        <v>1.9798611111111111</v>
      </c>
      <c r="C453">
        <v>16.54</v>
      </c>
      <c r="D453">
        <v>2.7560040989976298E-4</v>
      </c>
      <c r="E453">
        <f t="shared" si="7"/>
        <v>2.7560040989976298E-4</v>
      </c>
    </row>
    <row r="454" spans="1:5" x14ac:dyDescent="0.25">
      <c r="A454">
        <v>2852</v>
      </c>
      <c r="B454" s="1">
        <v>1.9805555555555556</v>
      </c>
      <c r="C454">
        <v>18.12</v>
      </c>
      <c r="D454">
        <v>3.0196011698041401E-4</v>
      </c>
      <c r="E454">
        <f t="shared" si="7"/>
        <v>3.0196011698041401E-4</v>
      </c>
    </row>
    <row r="455" spans="1:5" x14ac:dyDescent="0.25">
      <c r="A455">
        <v>2853</v>
      </c>
      <c r="B455" s="1">
        <v>1.98125</v>
      </c>
      <c r="C455">
        <v>19.739999999999998</v>
      </c>
      <c r="D455">
        <v>3.28989928337157E-4</v>
      </c>
      <c r="E455">
        <f t="shared" si="7"/>
        <v>3.28989928337157E-4</v>
      </c>
    </row>
    <row r="456" spans="1:5" x14ac:dyDescent="0.25">
      <c r="A456">
        <v>2854</v>
      </c>
      <c r="B456" s="1">
        <v>1.9819444444444445</v>
      </c>
      <c r="C456">
        <v>21.4</v>
      </c>
      <c r="D456">
        <v>3.5659838364445601E-4</v>
      </c>
      <c r="E456">
        <f t="shared" si="7"/>
        <v>3.5659838364445601E-4</v>
      </c>
    </row>
    <row r="457" spans="1:5" x14ac:dyDescent="0.25">
      <c r="A457">
        <v>2855</v>
      </c>
      <c r="B457" s="1">
        <v>1.9826388888888888</v>
      </c>
      <c r="C457">
        <v>23.08</v>
      </c>
      <c r="D457">
        <v>3.8469206462877998E-4</v>
      </c>
      <c r="E457">
        <f t="shared" si="7"/>
        <v>3.8469206462877998E-4</v>
      </c>
    </row>
    <row r="458" spans="1:5" x14ac:dyDescent="0.25">
      <c r="A458">
        <v>2856</v>
      </c>
      <c r="B458" s="1">
        <v>1.9833333333333334</v>
      </c>
      <c r="C458">
        <v>24.79</v>
      </c>
      <c r="D458">
        <v>4.1317591116653301E-4</v>
      </c>
      <c r="E458">
        <f t="shared" si="7"/>
        <v>4.1317591116653301E-4</v>
      </c>
    </row>
    <row r="459" spans="1:5" x14ac:dyDescent="0.25">
      <c r="A459">
        <v>2857</v>
      </c>
      <c r="B459" s="1">
        <v>1.9840277777777777</v>
      </c>
      <c r="C459">
        <v>26.52</v>
      </c>
      <c r="D459">
        <v>4.4195354293738101E-4</v>
      </c>
      <c r="E459">
        <f t="shared" si="7"/>
        <v>4.4195354293738101E-4</v>
      </c>
    </row>
    <row r="460" spans="1:5" x14ac:dyDescent="0.25">
      <c r="A460">
        <v>2858</v>
      </c>
      <c r="B460" s="1">
        <v>1.9847222222222223</v>
      </c>
      <c r="C460">
        <v>28.26</v>
      </c>
      <c r="D460">
        <v>4.7092758554475699E-4</v>
      </c>
      <c r="E460">
        <f t="shared" si="7"/>
        <v>4.7092758554475699E-4</v>
      </c>
    </row>
    <row r="461" spans="1:5" x14ac:dyDescent="0.25">
      <c r="A461">
        <v>2859</v>
      </c>
      <c r="B461" s="1">
        <v>1.9854166666666666</v>
      </c>
      <c r="C461">
        <v>30</v>
      </c>
      <c r="D461">
        <v>4.9999999999999296E-4</v>
      </c>
      <c r="E461">
        <f t="shared" si="7"/>
        <v>4.9999999999999296E-4</v>
      </c>
    </row>
    <row r="462" spans="1:5" x14ac:dyDescent="0.25">
      <c r="A462">
        <v>2860</v>
      </c>
      <c r="B462" s="1">
        <v>1.9861111111111112</v>
      </c>
      <c r="C462">
        <v>31.74</v>
      </c>
      <c r="D462">
        <v>5.2907241445523002E-4</v>
      </c>
      <c r="E462">
        <f t="shared" si="7"/>
        <v>5.2907241445523002E-4</v>
      </c>
    </row>
    <row r="463" spans="1:5" x14ac:dyDescent="0.25">
      <c r="A463">
        <v>2861</v>
      </c>
      <c r="B463" s="1">
        <v>1.9868055555555555</v>
      </c>
      <c r="C463">
        <v>33.479999999999997</v>
      </c>
      <c r="D463">
        <v>5.5804645706260497E-4</v>
      </c>
      <c r="E463">
        <f t="shared" si="7"/>
        <v>5.5804645706260497E-4</v>
      </c>
    </row>
    <row r="464" spans="1:5" x14ac:dyDescent="0.25">
      <c r="A464">
        <v>2862</v>
      </c>
      <c r="B464" s="1">
        <v>1.9875</v>
      </c>
      <c r="C464">
        <v>35.21</v>
      </c>
      <c r="D464">
        <v>5.8682408883346598E-4</v>
      </c>
      <c r="E464">
        <f t="shared" si="7"/>
        <v>5.8682408883346598E-4</v>
      </c>
    </row>
    <row r="465" spans="1:5" x14ac:dyDescent="0.25">
      <c r="A465">
        <v>2863</v>
      </c>
      <c r="B465" s="1">
        <v>1.9881944444444444</v>
      </c>
      <c r="C465">
        <v>36.92</v>
      </c>
      <c r="D465">
        <v>6.1530793537121901E-4</v>
      </c>
      <c r="E465">
        <f t="shared" si="7"/>
        <v>6.1530793537121901E-4</v>
      </c>
    </row>
    <row r="466" spans="1:5" x14ac:dyDescent="0.25">
      <c r="A466">
        <v>2864</v>
      </c>
      <c r="B466" s="1">
        <v>1.9888888888888889</v>
      </c>
      <c r="C466">
        <v>38.6</v>
      </c>
      <c r="D466">
        <v>6.4340161635554304E-4</v>
      </c>
      <c r="E466">
        <f t="shared" si="7"/>
        <v>6.4340161635554304E-4</v>
      </c>
    </row>
    <row r="467" spans="1:5" x14ac:dyDescent="0.25">
      <c r="A467">
        <v>2865</v>
      </c>
      <c r="B467" s="1">
        <v>1.9895833333333333</v>
      </c>
      <c r="C467">
        <v>40.26</v>
      </c>
      <c r="D467">
        <v>6.7101007166283104E-4</v>
      </c>
      <c r="E467">
        <f t="shared" si="7"/>
        <v>6.7101007166283104E-4</v>
      </c>
    </row>
    <row r="468" spans="1:5" x14ac:dyDescent="0.25">
      <c r="A468">
        <v>2866</v>
      </c>
      <c r="B468" s="1">
        <v>1.9902777777777778</v>
      </c>
      <c r="C468">
        <v>41.88</v>
      </c>
      <c r="D468">
        <v>6.9803988301957295E-4</v>
      </c>
      <c r="E468">
        <f t="shared" si="7"/>
        <v>6.9803988301957295E-4</v>
      </c>
    </row>
    <row r="469" spans="1:5" x14ac:dyDescent="0.25">
      <c r="A469">
        <v>2867</v>
      </c>
      <c r="B469" s="1">
        <v>1.9909722222222221</v>
      </c>
      <c r="C469">
        <v>43.46</v>
      </c>
      <c r="D469">
        <v>7.2439959010022501E-4</v>
      </c>
      <c r="E469">
        <f t="shared" si="7"/>
        <v>7.2439959010022501E-4</v>
      </c>
    </row>
    <row r="470" spans="1:5" x14ac:dyDescent="0.25">
      <c r="A470">
        <v>2868</v>
      </c>
      <c r="B470" s="1">
        <v>1.9916666666666667</v>
      </c>
      <c r="C470">
        <v>45</v>
      </c>
      <c r="D470">
        <v>7.4999999999999199E-4</v>
      </c>
      <c r="E470">
        <f t="shared" si="7"/>
        <v>7.4999999999999199E-4</v>
      </c>
    </row>
    <row r="471" spans="1:5" x14ac:dyDescent="0.25">
      <c r="A471">
        <v>2869</v>
      </c>
      <c r="B471" s="1">
        <v>1.992361111111111</v>
      </c>
      <c r="C471">
        <v>46.49</v>
      </c>
      <c r="D471">
        <v>7.7475448903540495E-4</v>
      </c>
      <c r="E471">
        <f t="shared" si="7"/>
        <v>7.7475448903540495E-4</v>
      </c>
    </row>
    <row r="472" spans="1:5" x14ac:dyDescent="0.25">
      <c r="A472">
        <v>2870</v>
      </c>
      <c r="B472" s="1">
        <v>1.9930555555555556</v>
      </c>
      <c r="C472">
        <v>47.91</v>
      </c>
      <c r="D472">
        <v>7.9857929585139297E-4</v>
      </c>
      <c r="E472">
        <f t="shared" si="7"/>
        <v>7.9857929585139297E-4</v>
      </c>
    </row>
    <row r="473" spans="1:5" x14ac:dyDescent="0.25">
      <c r="A473">
        <v>2871</v>
      </c>
      <c r="B473" s="1">
        <v>1.9937499999999999</v>
      </c>
      <c r="C473">
        <v>49.28</v>
      </c>
      <c r="D473">
        <v>8.2139380484326898E-4</v>
      </c>
      <c r="E473">
        <f t="shared" si="7"/>
        <v>8.2139380484326898E-4</v>
      </c>
    </row>
    <row r="474" spans="1:5" x14ac:dyDescent="0.25">
      <c r="A474">
        <v>2872</v>
      </c>
      <c r="B474" s="1">
        <v>1.9944444444444445</v>
      </c>
      <c r="C474">
        <v>50.59</v>
      </c>
      <c r="D474">
        <v>8.4312081893436503E-4</v>
      </c>
      <c r="E474">
        <f t="shared" si="7"/>
        <v>8.4312081893436503E-4</v>
      </c>
    </row>
    <row r="475" spans="1:5" x14ac:dyDescent="0.25">
      <c r="A475">
        <v>2873</v>
      </c>
      <c r="B475" s="1">
        <v>1.9951388888888888</v>
      </c>
      <c r="C475">
        <v>51.82</v>
      </c>
      <c r="D475">
        <v>8.6368682078652101E-4</v>
      </c>
      <c r="E475">
        <f t="shared" si="7"/>
        <v>8.6368682078652101E-4</v>
      </c>
    </row>
    <row r="476" spans="1:5" x14ac:dyDescent="0.25">
      <c r="A476">
        <v>2874</v>
      </c>
      <c r="B476" s="1">
        <v>1.9958333333333333</v>
      </c>
      <c r="C476">
        <v>52.98</v>
      </c>
      <c r="D476">
        <v>8.8302222155948497E-4</v>
      </c>
      <c r="E476">
        <f t="shared" si="7"/>
        <v>8.8302222155948497E-4</v>
      </c>
    </row>
    <row r="477" spans="1:5" x14ac:dyDescent="0.25">
      <c r="A477">
        <v>2875</v>
      </c>
      <c r="B477" s="1">
        <v>1.9965277777777777</v>
      </c>
      <c r="C477">
        <v>54.06</v>
      </c>
      <c r="D477">
        <v>9.0106159637751702E-4</v>
      </c>
      <c r="E477">
        <f t="shared" si="7"/>
        <v>9.0106159637751702E-4</v>
      </c>
    </row>
    <row r="478" spans="1:5" x14ac:dyDescent="0.25">
      <c r="A478">
        <v>2876</v>
      </c>
      <c r="B478" s="1">
        <v>1.9972222222222222</v>
      </c>
      <c r="C478">
        <v>55.06</v>
      </c>
      <c r="D478">
        <v>9.1774390570646301E-4</v>
      </c>
      <c r="E478">
        <f t="shared" si="7"/>
        <v>9.1774390570646301E-4</v>
      </c>
    </row>
    <row r="479" spans="1:5" x14ac:dyDescent="0.25">
      <c r="A479">
        <v>2877</v>
      </c>
      <c r="B479" s="1">
        <v>1.9979166666666666</v>
      </c>
      <c r="C479">
        <v>55.98</v>
      </c>
      <c r="D479">
        <v>9.3301270189222001E-4</v>
      </c>
      <c r="E479">
        <f t="shared" si="7"/>
        <v>9.3301270189222001E-4</v>
      </c>
    </row>
    <row r="480" spans="1:5" x14ac:dyDescent="0.25">
      <c r="A480">
        <v>2878</v>
      </c>
      <c r="B480" s="1">
        <v>1.9986111111111111</v>
      </c>
      <c r="C480">
        <v>56.81</v>
      </c>
      <c r="D480">
        <v>9.4681632016170602E-4</v>
      </c>
      <c r="E480">
        <f t="shared" si="7"/>
        <v>9.4681632016170602E-4</v>
      </c>
    </row>
    <row r="481" spans="1:5" x14ac:dyDescent="0.25">
      <c r="A481">
        <v>2879</v>
      </c>
      <c r="B481" s="1">
        <v>1.9993055555555554</v>
      </c>
      <c r="C481">
        <v>57.55</v>
      </c>
      <c r="D481">
        <v>9.5910805344013596E-4</v>
      </c>
      <c r="E481">
        <f t="shared" si="7"/>
        <v>9.5910805344013596E-4</v>
      </c>
    </row>
    <row r="482" spans="1:5" x14ac:dyDescent="0.25">
      <c r="A482">
        <v>2880</v>
      </c>
      <c r="B482" s="1">
        <v>2</v>
      </c>
      <c r="C482">
        <v>58.19</v>
      </c>
      <c r="D482">
        <v>9.69846310392953E-4</v>
      </c>
      <c r="E482">
        <f t="shared" si="7"/>
        <v>9.69846310392953E-4</v>
      </c>
    </row>
    <row r="483" spans="1:5" x14ac:dyDescent="0.25">
      <c r="A483">
        <v>2881</v>
      </c>
      <c r="B483" s="1">
        <v>2.0006944444444446</v>
      </c>
      <c r="C483">
        <v>58.74</v>
      </c>
      <c r="D483">
        <v>9.7899475615774293E-4</v>
      </c>
      <c r="E483">
        <f t="shared" si="7"/>
        <v>9.7899475615774293E-4</v>
      </c>
    </row>
    <row r="484" spans="1:5" x14ac:dyDescent="0.25">
      <c r="A484">
        <v>2882</v>
      </c>
      <c r="B484" s="1">
        <v>2.0013888888888891</v>
      </c>
      <c r="C484">
        <v>59.19</v>
      </c>
      <c r="D484">
        <v>9.865224352899099E-4</v>
      </c>
      <c r="E484">
        <f t="shared" si="7"/>
        <v>9.865224352899099E-4</v>
      </c>
    </row>
    <row r="485" spans="1:5" x14ac:dyDescent="0.25">
      <c r="A485">
        <v>2883</v>
      </c>
      <c r="B485" s="1">
        <v>2.0020833333333332</v>
      </c>
      <c r="C485">
        <v>59.54</v>
      </c>
      <c r="D485">
        <v>9.9240387650610207E-4</v>
      </c>
      <c r="E485">
        <f t="shared" si="7"/>
        <v>9.9240387650610207E-4</v>
      </c>
    </row>
    <row r="486" spans="1:5" x14ac:dyDescent="0.25">
      <c r="A486">
        <v>2884</v>
      </c>
      <c r="B486" s="1">
        <v>2.0027777777777778</v>
      </c>
      <c r="C486">
        <v>59.8</v>
      </c>
      <c r="D486">
        <v>9.9661917887097101E-4</v>
      </c>
      <c r="E486">
        <f t="shared" si="7"/>
        <v>9.9661917887097101E-4</v>
      </c>
    </row>
    <row r="487" spans="1:5" x14ac:dyDescent="0.25">
      <c r="A487">
        <v>2885</v>
      </c>
      <c r="B487" s="1">
        <v>2.0034722222222223</v>
      </c>
      <c r="C487">
        <v>59.95</v>
      </c>
      <c r="D487">
        <v>9.9915407913563395E-4</v>
      </c>
      <c r="E487">
        <f t="shared" si="7"/>
        <v>9.9915407913563395E-4</v>
      </c>
    </row>
    <row r="488" spans="1:5" x14ac:dyDescent="0.25">
      <c r="A488">
        <v>2886</v>
      </c>
      <c r="B488" s="1">
        <v>2.0041666666666669</v>
      </c>
      <c r="C488">
        <v>60</v>
      </c>
      <c r="D488">
        <v>1E-3</v>
      </c>
      <c r="E488">
        <f t="shared" si="7"/>
        <v>1E-3</v>
      </c>
    </row>
    <row r="489" spans="1:5" x14ac:dyDescent="0.25">
      <c r="A489">
        <v>2887</v>
      </c>
      <c r="B489" s="1">
        <v>2.004861111111111</v>
      </c>
      <c r="C489">
        <v>59.94</v>
      </c>
      <c r="D489">
        <v>9.9902132901341298E-4</v>
      </c>
      <c r="E489">
        <f t="shared" si="7"/>
        <v>9.9902132901341298E-4</v>
      </c>
    </row>
    <row r="490" spans="1:5" x14ac:dyDescent="0.25">
      <c r="A490">
        <v>2888</v>
      </c>
      <c r="B490" s="1">
        <v>2.0055555555555555</v>
      </c>
      <c r="C490">
        <v>59.77</v>
      </c>
      <c r="D490">
        <v>9.9609078917879505E-4</v>
      </c>
      <c r="E490">
        <f t="shared" si="7"/>
        <v>9.9609078917879505E-4</v>
      </c>
    </row>
    <row r="491" spans="1:5" x14ac:dyDescent="0.25">
      <c r="A491">
        <v>2889</v>
      </c>
      <c r="B491" s="1">
        <v>2.0062500000000001</v>
      </c>
      <c r="C491">
        <v>59.47</v>
      </c>
      <c r="D491">
        <v>9.9122476926363908E-4</v>
      </c>
      <c r="E491">
        <f t="shared" si="7"/>
        <v>9.9122476926363908E-4</v>
      </c>
    </row>
    <row r="492" spans="1:5" x14ac:dyDescent="0.25">
      <c r="A492">
        <v>2890</v>
      </c>
      <c r="B492" s="1">
        <v>2.0069444444444446</v>
      </c>
      <c r="C492">
        <v>59.07</v>
      </c>
      <c r="D492">
        <v>9.8445048202515091E-4</v>
      </c>
      <c r="E492">
        <f t="shared" si="7"/>
        <v>9.8445048202515091E-4</v>
      </c>
    </row>
    <row r="493" spans="1:5" x14ac:dyDescent="0.25">
      <c r="A493">
        <v>2891</v>
      </c>
      <c r="B493" s="1">
        <v>2.0076388888888888</v>
      </c>
      <c r="C493">
        <v>58.55</v>
      </c>
      <c r="D493">
        <v>9.7580581202547296E-4</v>
      </c>
      <c r="E493">
        <f t="shared" si="7"/>
        <v>9.7580581202547296E-4</v>
      </c>
    </row>
    <row r="494" spans="1:5" x14ac:dyDescent="0.25">
      <c r="A494">
        <v>2892</v>
      </c>
      <c r="B494" s="1">
        <v>2.0083333333333333</v>
      </c>
      <c r="C494">
        <v>57.92</v>
      </c>
      <c r="D494">
        <v>9.6533910376584505E-4</v>
      </c>
      <c r="E494">
        <f t="shared" si="7"/>
        <v>9.6533910376584505E-4</v>
      </c>
    </row>
    <row r="495" spans="1:5" x14ac:dyDescent="0.25">
      <c r="A495">
        <v>2893</v>
      </c>
      <c r="B495" s="1">
        <v>2.0090277777777779</v>
      </c>
      <c r="C495">
        <v>57.19</v>
      </c>
      <c r="D495">
        <v>9.5310889132455196E-4</v>
      </c>
      <c r="E495">
        <f t="shared" si="7"/>
        <v>9.5310889132455196E-4</v>
      </c>
    </row>
    <row r="496" spans="1:5" x14ac:dyDescent="0.25">
      <c r="A496">
        <v>2894</v>
      </c>
      <c r="B496" s="1">
        <v>2.0097222222222224</v>
      </c>
      <c r="C496">
        <v>56.35</v>
      </c>
      <c r="D496">
        <v>9.39183571010597E-4</v>
      </c>
      <c r="E496">
        <f t="shared" si="7"/>
        <v>9.39183571010597E-4</v>
      </c>
    </row>
    <row r="497" spans="1:5" x14ac:dyDescent="0.25">
      <c r="A497">
        <v>2895</v>
      </c>
      <c r="B497" s="1">
        <v>2.0104166666666665</v>
      </c>
      <c r="C497">
        <v>55.42</v>
      </c>
      <c r="D497">
        <v>9.2364101886381004E-4</v>
      </c>
      <c r="E497">
        <f t="shared" si="7"/>
        <v>9.2364101886381004E-4</v>
      </c>
    </row>
    <row r="498" spans="1:5" x14ac:dyDescent="0.25">
      <c r="A498">
        <v>2896</v>
      </c>
      <c r="B498" s="1">
        <v>2.0111111111111111</v>
      </c>
      <c r="C498">
        <v>54.39</v>
      </c>
      <c r="D498">
        <v>9.0656815514043995E-4</v>
      </c>
      <c r="E498">
        <f t="shared" si="7"/>
        <v>9.0656815514043995E-4</v>
      </c>
    </row>
    <row r="499" spans="1:5" x14ac:dyDescent="0.25">
      <c r="A499">
        <v>2897</v>
      </c>
      <c r="B499" s="1">
        <v>2.0118055555555556</v>
      </c>
      <c r="C499">
        <v>53.28</v>
      </c>
      <c r="D499">
        <v>8.8806045821982404E-4</v>
      </c>
      <c r="E499">
        <f t="shared" si="7"/>
        <v>8.8806045821982404E-4</v>
      </c>
    </row>
    <row r="500" spans="1:5" x14ac:dyDescent="0.25">
      <c r="A500">
        <v>2898</v>
      </c>
      <c r="B500" s="1">
        <v>2.0125000000000002</v>
      </c>
      <c r="C500">
        <v>52.09</v>
      </c>
      <c r="D500">
        <v>8.6822143065055999E-4</v>
      </c>
      <c r="E500">
        <f t="shared" si="7"/>
        <v>8.6822143065055999E-4</v>
      </c>
    </row>
    <row r="501" spans="1:5" x14ac:dyDescent="0.25">
      <c r="A501">
        <v>2899</v>
      </c>
      <c r="B501" s="1">
        <v>2.0131944444444443</v>
      </c>
      <c r="C501">
        <v>50.83</v>
      </c>
      <c r="D501">
        <v>8.4716202032226301E-4</v>
      </c>
      <c r="E501">
        <f t="shared" si="7"/>
        <v>8.4716202032226301E-4</v>
      </c>
    </row>
    <row r="502" spans="1:5" x14ac:dyDescent="0.25">
      <c r="A502">
        <v>2900</v>
      </c>
      <c r="B502" s="1">
        <v>2.0138888888888888</v>
      </c>
      <c r="C502">
        <v>49.5</v>
      </c>
      <c r="D502">
        <v>8.2499999999999598E-4</v>
      </c>
      <c r="E502">
        <f t="shared" si="7"/>
        <v>8.2499999999999598E-4</v>
      </c>
    </row>
    <row r="503" spans="1:5" x14ac:dyDescent="0.25">
      <c r="A503">
        <v>2901</v>
      </c>
      <c r="B503" s="1">
        <v>2.0145833333333334</v>
      </c>
      <c r="C503">
        <v>48.11</v>
      </c>
      <c r="D503">
        <v>8.01859308691143E-4</v>
      </c>
      <c r="E503">
        <f t="shared" si="7"/>
        <v>8.01859308691143E-4</v>
      </c>
    </row>
    <row r="504" spans="1:5" x14ac:dyDescent="0.25">
      <c r="A504">
        <v>2902</v>
      </c>
      <c r="B504" s="1">
        <v>2.0152777777777779</v>
      </c>
      <c r="C504">
        <v>46.67</v>
      </c>
      <c r="D504">
        <v>7.7786935852823698E-4</v>
      </c>
      <c r="E504">
        <f t="shared" si="7"/>
        <v>7.7786935852823698E-4</v>
      </c>
    </row>
    <row r="505" spans="1:5" x14ac:dyDescent="0.25">
      <c r="A505">
        <v>2903</v>
      </c>
      <c r="B505" s="1">
        <v>2.0159722222222221</v>
      </c>
      <c r="C505">
        <v>45.19</v>
      </c>
      <c r="D505">
        <v>7.5316431104381599E-4</v>
      </c>
      <c r="E505">
        <f t="shared" si="7"/>
        <v>7.5316431104381599E-4</v>
      </c>
    </row>
    <row r="506" spans="1:5" x14ac:dyDescent="0.25">
      <c r="A506">
        <v>2904</v>
      </c>
      <c r="B506" s="1">
        <v>2.0166666666666666</v>
      </c>
      <c r="C506">
        <v>43.67</v>
      </c>
      <c r="D506">
        <v>7.2788232688471104E-4</v>
      </c>
      <c r="E506">
        <f t="shared" si="7"/>
        <v>7.2788232688471104E-4</v>
      </c>
    </row>
    <row r="507" spans="1:5" x14ac:dyDescent="0.25">
      <c r="A507">
        <v>2905</v>
      </c>
      <c r="B507" s="1">
        <v>2.0173611111111112</v>
      </c>
      <c r="C507">
        <v>42.13</v>
      </c>
      <c r="D507">
        <v>7.02164793161663E-4</v>
      </c>
      <c r="E507">
        <f t="shared" si="7"/>
        <v>7.02164793161663E-4</v>
      </c>
    </row>
    <row r="508" spans="1:5" x14ac:dyDescent="0.25">
      <c r="A508">
        <v>2906</v>
      </c>
      <c r="B508" s="1">
        <v>2.0180555555555557</v>
      </c>
      <c r="C508">
        <v>40.57</v>
      </c>
      <c r="D508">
        <v>6.7615553275525203E-4</v>
      </c>
      <c r="E508">
        <f t="shared" si="7"/>
        <v>6.7615553275525203E-4</v>
      </c>
    </row>
    <row r="509" spans="1:5" x14ac:dyDescent="0.25">
      <c r="A509">
        <v>2907</v>
      </c>
      <c r="B509" s="1">
        <v>2.0187499999999998</v>
      </c>
      <c r="C509">
        <v>39</v>
      </c>
      <c r="D509">
        <v>6.4999999999999401E-4</v>
      </c>
      <c r="E509">
        <f t="shared" si="7"/>
        <v>6.4999999999999401E-4</v>
      </c>
    </row>
    <row r="510" spans="1:5" x14ac:dyDescent="0.25">
      <c r="A510">
        <v>2908</v>
      </c>
      <c r="B510" s="1">
        <v>2.0194444444444444</v>
      </c>
      <c r="C510">
        <v>37.43</v>
      </c>
      <c r="D510">
        <v>6.2384446724474704E-4</v>
      </c>
      <c r="E510">
        <f t="shared" si="7"/>
        <v>6.2384446724474704E-4</v>
      </c>
    </row>
    <row r="511" spans="1:5" x14ac:dyDescent="0.25">
      <c r="A511">
        <v>2909</v>
      </c>
      <c r="B511" s="1">
        <v>2.0201388888888889</v>
      </c>
      <c r="C511">
        <v>35.869999999999997</v>
      </c>
      <c r="D511">
        <v>5.9783520683833597E-4</v>
      </c>
      <c r="E511">
        <f t="shared" si="7"/>
        <v>5.9783520683833597E-4</v>
      </c>
    </row>
    <row r="512" spans="1:5" x14ac:dyDescent="0.25">
      <c r="A512">
        <v>2910</v>
      </c>
      <c r="B512" s="1">
        <v>2.0208333333333335</v>
      </c>
      <c r="C512">
        <v>34.33</v>
      </c>
      <c r="D512">
        <v>5.7211767311528803E-4</v>
      </c>
      <c r="E512">
        <f t="shared" si="7"/>
        <v>5.7211767311528803E-4</v>
      </c>
    </row>
    <row r="513" spans="1:5" x14ac:dyDescent="0.25">
      <c r="A513">
        <v>2911</v>
      </c>
      <c r="B513" s="1">
        <v>2.0215277777777776</v>
      </c>
      <c r="C513">
        <v>32.81</v>
      </c>
      <c r="D513">
        <v>5.4683568895618298E-4</v>
      </c>
      <c r="E513">
        <f t="shared" si="7"/>
        <v>5.4683568895618298E-4</v>
      </c>
    </row>
    <row r="514" spans="1:5" x14ac:dyDescent="0.25">
      <c r="A514">
        <v>2912</v>
      </c>
      <c r="B514" s="1">
        <v>2.0222222222222221</v>
      </c>
      <c r="C514">
        <v>31.33</v>
      </c>
      <c r="D514">
        <v>5.2213064147176198E-4</v>
      </c>
      <c r="E514">
        <f t="shared" si="7"/>
        <v>5.2213064147176198E-4</v>
      </c>
    </row>
    <row r="515" spans="1:5" x14ac:dyDescent="0.25">
      <c r="A515">
        <v>2913</v>
      </c>
      <c r="B515" s="1">
        <v>2.0229166666666667</v>
      </c>
      <c r="C515">
        <v>29.89</v>
      </c>
      <c r="D515">
        <v>4.9814069130885597E-4</v>
      </c>
      <c r="E515">
        <f t="shared" ref="E515:E578" si="8">D515*$H$3</f>
        <v>4.9814069130885597E-4</v>
      </c>
    </row>
    <row r="516" spans="1:5" x14ac:dyDescent="0.25">
      <c r="A516">
        <v>2914</v>
      </c>
      <c r="B516" s="1">
        <v>2.0236111111111112</v>
      </c>
      <c r="C516">
        <v>28.5</v>
      </c>
      <c r="D516">
        <v>4.7499999999999301E-4</v>
      </c>
      <c r="E516">
        <f t="shared" si="8"/>
        <v>4.7499999999999301E-4</v>
      </c>
    </row>
    <row r="517" spans="1:5" x14ac:dyDescent="0.25">
      <c r="A517">
        <v>2915</v>
      </c>
      <c r="B517" s="1">
        <v>2.0243055555555554</v>
      </c>
      <c r="C517">
        <v>27.17</v>
      </c>
      <c r="D517">
        <v>4.5283797967772701E-4</v>
      </c>
      <c r="E517">
        <f t="shared" si="8"/>
        <v>4.5283797967772701E-4</v>
      </c>
    </row>
    <row r="518" spans="1:5" x14ac:dyDescent="0.25">
      <c r="A518">
        <v>2916</v>
      </c>
      <c r="B518" s="1">
        <v>2.0249999999999999</v>
      </c>
      <c r="C518">
        <v>25.91</v>
      </c>
      <c r="D518">
        <v>4.3177856934943903E-4</v>
      </c>
      <c r="E518">
        <f t="shared" si="8"/>
        <v>4.3177856934943903E-4</v>
      </c>
    </row>
    <row r="519" spans="1:5" x14ac:dyDescent="0.25">
      <c r="A519">
        <v>2917</v>
      </c>
      <c r="B519" s="1">
        <v>2.0256944444444445</v>
      </c>
      <c r="C519">
        <v>24.72</v>
      </c>
      <c r="D519">
        <v>4.1193954178017498E-4</v>
      </c>
      <c r="E519">
        <f t="shared" si="8"/>
        <v>4.1193954178017498E-4</v>
      </c>
    </row>
    <row r="520" spans="1:5" x14ac:dyDescent="0.25">
      <c r="A520">
        <v>2918</v>
      </c>
      <c r="B520" s="1">
        <v>2.026388888888889</v>
      </c>
      <c r="C520">
        <v>23.61</v>
      </c>
      <c r="D520">
        <v>3.9343184485955902E-4</v>
      </c>
      <c r="E520">
        <f t="shared" si="8"/>
        <v>3.9343184485955902E-4</v>
      </c>
    </row>
    <row r="521" spans="1:5" x14ac:dyDescent="0.25">
      <c r="A521">
        <v>2919</v>
      </c>
      <c r="B521" s="1">
        <v>2.0270833333333331</v>
      </c>
      <c r="C521">
        <v>22.58</v>
      </c>
      <c r="D521">
        <v>3.7635898113618898E-4</v>
      </c>
      <c r="E521">
        <f t="shared" si="8"/>
        <v>3.7635898113618898E-4</v>
      </c>
    </row>
    <row r="522" spans="1:5" x14ac:dyDescent="0.25">
      <c r="A522">
        <v>2920</v>
      </c>
      <c r="B522" s="1">
        <v>2.0277777777777777</v>
      </c>
      <c r="C522">
        <v>21.65</v>
      </c>
      <c r="D522">
        <v>3.6081642898940202E-4</v>
      </c>
      <c r="E522">
        <f t="shared" si="8"/>
        <v>3.6081642898940202E-4</v>
      </c>
    </row>
    <row r="523" spans="1:5" x14ac:dyDescent="0.25">
      <c r="A523">
        <v>2921</v>
      </c>
      <c r="B523" s="1">
        <v>2.0284722222222222</v>
      </c>
      <c r="C523">
        <v>20.81</v>
      </c>
      <c r="D523">
        <v>3.46891108675447E-4</v>
      </c>
      <c r="E523">
        <f t="shared" si="8"/>
        <v>3.46891108675447E-4</v>
      </c>
    </row>
    <row r="524" spans="1:5" x14ac:dyDescent="0.25">
      <c r="A524">
        <v>2922</v>
      </c>
      <c r="B524" s="1">
        <v>2.0291666666666668</v>
      </c>
      <c r="C524">
        <v>20.079999999999998</v>
      </c>
      <c r="D524">
        <v>3.3466089623414899E-4</v>
      </c>
      <c r="E524">
        <f t="shared" si="8"/>
        <v>3.3466089623414899E-4</v>
      </c>
    </row>
    <row r="525" spans="1:5" x14ac:dyDescent="0.25">
      <c r="A525">
        <v>2923</v>
      </c>
      <c r="B525" s="1">
        <v>2.0298611111111109</v>
      </c>
      <c r="C525">
        <v>19.45</v>
      </c>
      <c r="D525">
        <v>3.2419418797452601E-4</v>
      </c>
      <c r="E525">
        <f t="shared" si="8"/>
        <v>3.2419418797452601E-4</v>
      </c>
    </row>
    <row r="526" spans="1:5" x14ac:dyDescent="0.25">
      <c r="A526">
        <v>2924</v>
      </c>
      <c r="B526" s="1">
        <v>2.0305555555555554</v>
      </c>
      <c r="C526">
        <v>18.93</v>
      </c>
      <c r="D526">
        <v>3.1554951797484898E-4</v>
      </c>
      <c r="E526">
        <f t="shared" si="8"/>
        <v>3.1554951797484898E-4</v>
      </c>
    </row>
    <row r="527" spans="1:5" x14ac:dyDescent="0.25">
      <c r="A527">
        <v>2925</v>
      </c>
      <c r="B527" s="1">
        <v>2.03125</v>
      </c>
      <c r="C527">
        <v>18.53</v>
      </c>
      <c r="D527">
        <v>3.0877523073635999E-4</v>
      </c>
      <c r="E527">
        <f t="shared" si="8"/>
        <v>3.0877523073635999E-4</v>
      </c>
    </row>
    <row r="528" spans="1:5" x14ac:dyDescent="0.25">
      <c r="A528">
        <v>2926</v>
      </c>
      <c r="B528" s="1">
        <v>2.0319444444444446</v>
      </c>
      <c r="C528">
        <v>18.23</v>
      </c>
      <c r="D528">
        <v>3.0390921082120402E-4</v>
      </c>
      <c r="E528">
        <f t="shared" si="8"/>
        <v>3.0390921082120402E-4</v>
      </c>
    </row>
    <row r="529" spans="1:5" x14ac:dyDescent="0.25">
      <c r="A529">
        <v>2927</v>
      </c>
      <c r="B529" s="1">
        <v>2.0326388888888891</v>
      </c>
      <c r="C529">
        <v>18.059999999999999</v>
      </c>
      <c r="D529">
        <v>3.0097867098658599E-4</v>
      </c>
      <c r="E529">
        <f t="shared" si="8"/>
        <v>3.0097867098658599E-4</v>
      </c>
    </row>
    <row r="530" spans="1:5" x14ac:dyDescent="0.25">
      <c r="A530">
        <v>2928</v>
      </c>
      <c r="B530" s="1">
        <v>2.0333333333333332</v>
      </c>
      <c r="C530">
        <v>18</v>
      </c>
      <c r="D530">
        <v>2.9999999999999997E-4</v>
      </c>
      <c r="E530">
        <f t="shared" si="8"/>
        <v>2.9999999999999997E-4</v>
      </c>
    </row>
    <row r="531" spans="1:5" x14ac:dyDescent="0.25">
      <c r="A531">
        <v>2929</v>
      </c>
      <c r="B531" s="1">
        <v>2.0340277777777778</v>
      </c>
      <c r="C531">
        <v>18.04</v>
      </c>
      <c r="D531">
        <v>3.0059214460505598E-4</v>
      </c>
      <c r="E531">
        <f t="shared" si="8"/>
        <v>3.0059214460505598E-4</v>
      </c>
    </row>
    <row r="532" spans="1:5" x14ac:dyDescent="0.25">
      <c r="A532">
        <v>2930</v>
      </c>
      <c r="B532" s="1">
        <v>2.0347222222222223</v>
      </c>
      <c r="C532">
        <v>18.14</v>
      </c>
      <c r="D532">
        <v>3.0236657479031998E-4</v>
      </c>
      <c r="E532">
        <f t="shared" si="8"/>
        <v>3.0236657479031998E-4</v>
      </c>
    </row>
    <row r="533" spans="1:5" x14ac:dyDescent="0.25">
      <c r="A533">
        <v>2931</v>
      </c>
      <c r="B533" s="1">
        <v>2.0354166666666669</v>
      </c>
      <c r="C533">
        <v>18.32</v>
      </c>
      <c r="D533">
        <v>3.0531728644572802E-4</v>
      </c>
      <c r="E533">
        <f t="shared" si="8"/>
        <v>3.0531728644572802E-4</v>
      </c>
    </row>
    <row r="534" spans="1:5" x14ac:dyDescent="0.25">
      <c r="A534">
        <v>2932</v>
      </c>
      <c r="B534" s="1">
        <v>2.036111111111111</v>
      </c>
      <c r="C534">
        <v>18.57</v>
      </c>
      <c r="D534">
        <v>3.0943429529706201E-4</v>
      </c>
      <c r="E534">
        <f t="shared" si="8"/>
        <v>3.0943429529706201E-4</v>
      </c>
    </row>
    <row r="535" spans="1:5" x14ac:dyDescent="0.25">
      <c r="A535">
        <v>2933</v>
      </c>
      <c r="B535" s="1">
        <v>2.0368055555555555</v>
      </c>
      <c r="C535">
        <v>18.88</v>
      </c>
      <c r="D535">
        <v>3.1470367068957901E-4</v>
      </c>
      <c r="E535">
        <f t="shared" si="8"/>
        <v>3.1470367068957901E-4</v>
      </c>
    </row>
    <row r="536" spans="1:5" x14ac:dyDescent="0.25">
      <c r="A536">
        <v>2934</v>
      </c>
      <c r="B536" s="1">
        <v>2.0375000000000001</v>
      </c>
      <c r="C536">
        <v>19.27</v>
      </c>
      <c r="D536">
        <v>3.21107582724932E-4</v>
      </c>
      <c r="E536">
        <f t="shared" si="8"/>
        <v>3.21107582724932E-4</v>
      </c>
    </row>
    <row r="537" spans="1:5" x14ac:dyDescent="0.25">
      <c r="A537">
        <v>2935</v>
      </c>
      <c r="B537" s="1">
        <v>2.0381944444444446</v>
      </c>
      <c r="C537">
        <v>19.72</v>
      </c>
      <c r="D537">
        <v>3.28624362591904E-4</v>
      </c>
      <c r="E537">
        <f t="shared" si="8"/>
        <v>3.28624362591904E-4</v>
      </c>
    </row>
    <row r="538" spans="1:5" x14ac:dyDescent="0.25">
      <c r="A538">
        <v>2936</v>
      </c>
      <c r="B538" s="1">
        <v>2.0388888888888888</v>
      </c>
      <c r="C538">
        <v>20.23</v>
      </c>
      <c r="D538">
        <v>3.37228575886805E-4</v>
      </c>
      <c r="E538">
        <f t="shared" si="8"/>
        <v>3.37228575886805E-4</v>
      </c>
    </row>
    <row r="539" spans="1:5" x14ac:dyDescent="0.25">
      <c r="A539">
        <v>2937</v>
      </c>
      <c r="B539" s="1">
        <v>2.0395833333333333</v>
      </c>
      <c r="C539">
        <v>20.81</v>
      </c>
      <c r="D539">
        <v>3.4689110867544901E-4</v>
      </c>
      <c r="E539">
        <f t="shared" si="8"/>
        <v>3.4689110867544901E-4</v>
      </c>
    </row>
    <row r="540" spans="1:5" x14ac:dyDescent="0.25">
      <c r="A540">
        <v>2938</v>
      </c>
      <c r="B540" s="1">
        <v>2.0402777777777779</v>
      </c>
      <c r="C540">
        <v>21.45</v>
      </c>
      <c r="D540">
        <v>3.5757926600547401E-4</v>
      </c>
      <c r="E540">
        <f t="shared" si="8"/>
        <v>3.5757926600547401E-4</v>
      </c>
    </row>
    <row r="541" spans="1:5" x14ac:dyDescent="0.25">
      <c r="A541">
        <v>2939</v>
      </c>
      <c r="B541" s="1">
        <v>2.0409722222222224</v>
      </c>
      <c r="C541">
        <v>22.16</v>
      </c>
      <c r="D541">
        <v>3.69256882535736E-4</v>
      </c>
      <c r="E541">
        <f t="shared" si="8"/>
        <v>3.69256882535736E-4</v>
      </c>
    </row>
    <row r="542" spans="1:5" x14ac:dyDescent="0.25">
      <c r="A542">
        <v>2940</v>
      </c>
      <c r="B542" s="1">
        <v>2.0416666666666665</v>
      </c>
      <c r="C542">
        <v>22.91</v>
      </c>
      <c r="D542">
        <v>3.8188444490835802E-4</v>
      </c>
      <c r="E542">
        <f t="shared" si="8"/>
        <v>3.8188444490835802E-4</v>
      </c>
    </row>
    <row r="543" spans="1:5" x14ac:dyDescent="0.25">
      <c r="A543">
        <v>2941</v>
      </c>
      <c r="B543" s="1">
        <v>2.0423611111111111</v>
      </c>
      <c r="C543">
        <v>23.73</v>
      </c>
      <c r="D543">
        <v>3.9541922544943298E-4</v>
      </c>
      <c r="E543">
        <f t="shared" si="8"/>
        <v>3.9541922544943298E-4</v>
      </c>
    </row>
    <row r="544" spans="1:5" x14ac:dyDescent="0.25">
      <c r="A544">
        <v>2942</v>
      </c>
      <c r="B544" s="1">
        <v>2.0430555555555556</v>
      </c>
      <c r="C544">
        <v>24.59</v>
      </c>
      <c r="D544">
        <v>4.0981542674594197E-4</v>
      </c>
      <c r="E544">
        <f t="shared" si="8"/>
        <v>4.0981542674594197E-4</v>
      </c>
    </row>
    <row r="545" spans="1:5" x14ac:dyDescent="0.25">
      <c r="A545">
        <v>2943</v>
      </c>
      <c r="B545" s="1">
        <v>2.0437500000000002</v>
      </c>
      <c r="C545">
        <v>25.5</v>
      </c>
      <c r="D545">
        <v>4.2502433660970899E-4</v>
      </c>
      <c r="E545">
        <f t="shared" si="8"/>
        <v>4.2502433660970899E-4</v>
      </c>
    </row>
    <row r="546" spans="1:5" x14ac:dyDescent="0.25">
      <c r="A546">
        <v>2944</v>
      </c>
      <c r="B546" s="1">
        <v>2.0444444444444443</v>
      </c>
      <c r="C546">
        <v>26.46</v>
      </c>
      <c r="D546">
        <v>4.4099449290402901E-4</v>
      </c>
      <c r="E546">
        <f t="shared" si="8"/>
        <v>4.4099449290402901E-4</v>
      </c>
    </row>
    <row r="547" spans="1:5" x14ac:dyDescent="0.25">
      <c r="A547">
        <v>2945</v>
      </c>
      <c r="B547" s="1">
        <v>2.0451388888888888</v>
      </c>
      <c r="C547">
        <v>27.46</v>
      </c>
      <c r="D547">
        <v>4.5767185767522098E-4</v>
      </c>
      <c r="E547">
        <f t="shared" si="8"/>
        <v>4.5767185767522098E-4</v>
      </c>
    </row>
    <row r="548" spans="1:5" x14ac:dyDescent="0.25">
      <c r="A548">
        <v>2946</v>
      </c>
      <c r="B548" s="1">
        <v>2.0458333333333334</v>
      </c>
      <c r="C548">
        <v>28.5</v>
      </c>
      <c r="D548">
        <v>4.75000000000002E-4</v>
      </c>
      <c r="E548">
        <f t="shared" si="8"/>
        <v>4.75000000000002E-4</v>
      </c>
    </row>
    <row r="549" spans="1:5" x14ac:dyDescent="0.25">
      <c r="A549">
        <v>2947</v>
      </c>
      <c r="B549" s="1">
        <v>2.0465277777777779</v>
      </c>
      <c r="C549">
        <v>29.58</v>
      </c>
      <c r="D549">
        <v>4.9292028692983904E-4</v>
      </c>
      <c r="E549">
        <f t="shared" si="8"/>
        <v>4.9292028692983904E-4</v>
      </c>
    </row>
    <row r="550" spans="1:5" x14ac:dyDescent="0.25">
      <c r="A550">
        <v>2948</v>
      </c>
      <c r="B550" s="1">
        <v>2.0472222222222221</v>
      </c>
      <c r="C550">
        <v>30.68</v>
      </c>
      <c r="D550">
        <v>5.1137208188629501E-4</v>
      </c>
      <c r="E550">
        <f t="shared" si="8"/>
        <v>5.1137208188629501E-4</v>
      </c>
    </row>
    <row r="551" spans="1:5" x14ac:dyDescent="0.25">
      <c r="A551">
        <v>2949</v>
      </c>
      <c r="B551" s="1">
        <v>2.0479166666666666</v>
      </c>
      <c r="C551">
        <v>31.82</v>
      </c>
      <c r="D551">
        <v>5.3029294983601499E-4</v>
      </c>
      <c r="E551">
        <f t="shared" si="8"/>
        <v>5.3029294983601499E-4</v>
      </c>
    </row>
    <row r="552" spans="1:5" x14ac:dyDescent="0.25">
      <c r="A552">
        <v>2950</v>
      </c>
      <c r="B552" s="1">
        <v>2.0486111111111112</v>
      </c>
      <c r="C552">
        <v>32.979999999999997</v>
      </c>
      <c r="D552">
        <v>5.4961886855111599E-4</v>
      </c>
      <c r="E552">
        <f t="shared" si="8"/>
        <v>5.4961886855111599E-4</v>
      </c>
    </row>
    <row r="553" spans="1:5" x14ac:dyDescent="0.25">
      <c r="A553">
        <v>2951</v>
      </c>
      <c r="B553" s="1">
        <v>2.0493055555555557</v>
      </c>
      <c r="C553">
        <v>34.159999999999997</v>
      </c>
      <c r="D553">
        <v>5.6928444524014204E-4</v>
      </c>
      <c r="E553">
        <f t="shared" si="8"/>
        <v>5.6928444524014204E-4</v>
      </c>
    </row>
    <row r="554" spans="1:5" x14ac:dyDescent="0.25">
      <c r="A554">
        <v>2952</v>
      </c>
      <c r="B554" s="1">
        <v>2.0499999999999998</v>
      </c>
      <c r="C554">
        <v>35.35</v>
      </c>
      <c r="D554">
        <v>5.8922313781657797E-4</v>
      </c>
      <c r="E554">
        <f t="shared" si="8"/>
        <v>5.8922313781657797E-4</v>
      </c>
    </row>
    <row r="555" spans="1:5" x14ac:dyDescent="0.25">
      <c r="A555">
        <v>2953</v>
      </c>
      <c r="B555" s="1">
        <v>2.0506944444444444</v>
      </c>
      <c r="C555">
        <v>36.56</v>
      </c>
      <c r="D555">
        <v>6.0936748005617199E-4</v>
      </c>
      <c r="E555">
        <f t="shared" si="8"/>
        <v>6.0936748005617199E-4</v>
      </c>
    </row>
    <row r="556" spans="1:5" x14ac:dyDescent="0.25">
      <c r="A556">
        <v>2954</v>
      </c>
      <c r="B556" s="1">
        <v>2.0513888888888889</v>
      </c>
      <c r="C556">
        <v>37.78</v>
      </c>
      <c r="D556">
        <v>6.2964930988133395E-4</v>
      </c>
      <c r="E556">
        <f t="shared" si="8"/>
        <v>6.2964930988133395E-4</v>
      </c>
    </row>
    <row r="557" spans="1:5" x14ac:dyDescent="0.25">
      <c r="A557">
        <v>2955</v>
      </c>
      <c r="B557" s="1">
        <v>2.0520833333333335</v>
      </c>
      <c r="C557">
        <v>39</v>
      </c>
      <c r="D557">
        <v>6.4999999999999997E-4</v>
      </c>
      <c r="E557">
        <f t="shared" si="8"/>
        <v>6.4999999999999997E-4</v>
      </c>
    </row>
    <row r="558" spans="1:5" x14ac:dyDescent="0.25">
      <c r="A558">
        <v>2956</v>
      </c>
      <c r="B558" s="1">
        <v>2.0527777777777776</v>
      </c>
      <c r="C558">
        <v>40.22</v>
      </c>
      <c r="D558">
        <v>6.7035069011866502E-4</v>
      </c>
      <c r="E558">
        <f t="shared" si="8"/>
        <v>6.7035069011866502E-4</v>
      </c>
    </row>
    <row r="559" spans="1:5" x14ac:dyDescent="0.25">
      <c r="A559">
        <v>2957</v>
      </c>
      <c r="B559" s="1">
        <v>2.0534722222222221</v>
      </c>
      <c r="C559">
        <v>41.44</v>
      </c>
      <c r="D559">
        <v>6.9063251994382795E-4</v>
      </c>
      <c r="E559">
        <f t="shared" si="8"/>
        <v>6.9063251994382795E-4</v>
      </c>
    </row>
    <row r="560" spans="1:5" x14ac:dyDescent="0.25">
      <c r="A560">
        <v>2958</v>
      </c>
      <c r="B560" s="1">
        <v>2.0541666666666667</v>
      </c>
      <c r="C560">
        <v>42.65</v>
      </c>
      <c r="D560">
        <v>7.10776862183421E-4</v>
      </c>
      <c r="E560">
        <f t="shared" si="8"/>
        <v>7.10776862183421E-4</v>
      </c>
    </row>
    <row r="561" spans="1:5" x14ac:dyDescent="0.25">
      <c r="A561">
        <v>2959</v>
      </c>
      <c r="B561" s="1">
        <v>2.0548611111111112</v>
      </c>
      <c r="C561">
        <v>43.84</v>
      </c>
      <c r="D561">
        <v>7.3071555475985703E-4</v>
      </c>
      <c r="E561">
        <f t="shared" si="8"/>
        <v>7.3071555475985703E-4</v>
      </c>
    </row>
    <row r="562" spans="1:5" x14ac:dyDescent="0.25">
      <c r="A562">
        <v>2960</v>
      </c>
      <c r="B562" s="1">
        <v>2.0555555555555554</v>
      </c>
      <c r="C562">
        <v>45.02</v>
      </c>
      <c r="D562">
        <v>7.5038113144888297E-4</v>
      </c>
      <c r="E562">
        <f t="shared" si="8"/>
        <v>7.5038113144888297E-4</v>
      </c>
    </row>
    <row r="563" spans="1:5" x14ac:dyDescent="0.25">
      <c r="A563">
        <v>2961</v>
      </c>
      <c r="B563" s="1">
        <v>2.0562499999999999</v>
      </c>
      <c r="C563">
        <v>46.18</v>
      </c>
      <c r="D563">
        <v>7.6970705016398398E-4</v>
      </c>
      <c r="E563">
        <f t="shared" si="8"/>
        <v>7.6970705016398398E-4</v>
      </c>
    </row>
    <row r="564" spans="1:5" x14ac:dyDescent="0.25">
      <c r="A564">
        <v>2962</v>
      </c>
      <c r="B564" s="1">
        <v>2.0569444444444445</v>
      </c>
      <c r="C564">
        <v>47.32</v>
      </c>
      <c r="D564">
        <v>7.8862791811370396E-4</v>
      </c>
      <c r="E564">
        <f t="shared" si="8"/>
        <v>7.8862791811370396E-4</v>
      </c>
    </row>
    <row r="565" spans="1:5" x14ac:dyDescent="0.25">
      <c r="A565">
        <v>2963</v>
      </c>
      <c r="B565" s="1">
        <v>2.057638888888889</v>
      </c>
      <c r="C565">
        <v>48.42</v>
      </c>
      <c r="D565">
        <v>8.0707971307016004E-4</v>
      </c>
      <c r="E565">
        <f t="shared" si="8"/>
        <v>8.0707971307016004E-4</v>
      </c>
    </row>
    <row r="566" spans="1:5" x14ac:dyDescent="0.25">
      <c r="A566">
        <v>2964</v>
      </c>
      <c r="B566" s="1">
        <v>2.0583333333333331</v>
      </c>
      <c r="C566">
        <v>49.5</v>
      </c>
      <c r="D566">
        <v>8.2499999999999696E-4</v>
      </c>
      <c r="E566">
        <f t="shared" si="8"/>
        <v>8.2499999999999696E-4</v>
      </c>
    </row>
    <row r="567" spans="1:5" x14ac:dyDescent="0.25">
      <c r="A567">
        <v>2965</v>
      </c>
      <c r="B567" s="1">
        <v>2.0590277777777777</v>
      </c>
      <c r="C567">
        <v>50.54</v>
      </c>
      <c r="D567">
        <v>8.4232814232477798E-4</v>
      </c>
      <c r="E567">
        <f t="shared" si="8"/>
        <v>8.4232814232477798E-4</v>
      </c>
    </row>
    <row r="568" spans="1:5" x14ac:dyDescent="0.25">
      <c r="A568">
        <v>2966</v>
      </c>
      <c r="B568" s="1">
        <v>2.0597222222222222</v>
      </c>
      <c r="C568">
        <v>51.54</v>
      </c>
      <c r="D568">
        <v>8.5900550709596996E-4</v>
      </c>
      <c r="E568">
        <f t="shared" si="8"/>
        <v>8.5900550709596996E-4</v>
      </c>
    </row>
    <row r="569" spans="1:5" x14ac:dyDescent="0.25">
      <c r="A569">
        <v>2967</v>
      </c>
      <c r="B569" s="1">
        <v>2.0604166666666668</v>
      </c>
      <c r="C569">
        <v>52.5</v>
      </c>
      <c r="D569">
        <v>8.7497566339029002E-4</v>
      </c>
      <c r="E569">
        <f t="shared" si="8"/>
        <v>8.7497566339029002E-4</v>
      </c>
    </row>
    <row r="570" spans="1:5" x14ac:dyDescent="0.25">
      <c r="A570">
        <v>2968</v>
      </c>
      <c r="B570" s="1">
        <v>2.0611111111111109</v>
      </c>
      <c r="C570">
        <v>53.41</v>
      </c>
      <c r="D570">
        <v>8.9018457325405699E-4</v>
      </c>
      <c r="E570">
        <f t="shared" si="8"/>
        <v>8.9018457325405699E-4</v>
      </c>
    </row>
    <row r="571" spans="1:5" x14ac:dyDescent="0.25">
      <c r="A571">
        <v>2969</v>
      </c>
      <c r="B571" s="1">
        <v>2.0618055555555554</v>
      </c>
      <c r="C571">
        <v>54.27</v>
      </c>
      <c r="D571">
        <v>9.0458077455056604E-4</v>
      </c>
      <c r="E571">
        <f t="shared" si="8"/>
        <v>9.0458077455056604E-4</v>
      </c>
    </row>
    <row r="572" spans="1:5" x14ac:dyDescent="0.25">
      <c r="A572">
        <v>2970</v>
      </c>
      <c r="B572" s="1">
        <v>2.0625</v>
      </c>
      <c r="C572">
        <v>55.09</v>
      </c>
      <c r="D572">
        <v>9.18115555091641E-4</v>
      </c>
      <c r="E572">
        <f t="shared" si="8"/>
        <v>9.18115555091641E-4</v>
      </c>
    </row>
    <row r="573" spans="1:5" x14ac:dyDescent="0.25">
      <c r="A573">
        <v>2971</v>
      </c>
      <c r="B573" s="1">
        <v>2.0631944444444446</v>
      </c>
      <c r="C573">
        <v>55.84</v>
      </c>
      <c r="D573">
        <v>9.3074311746426297E-4</v>
      </c>
      <c r="E573">
        <f t="shared" si="8"/>
        <v>9.3074311746426297E-4</v>
      </c>
    </row>
    <row r="574" spans="1:5" x14ac:dyDescent="0.25">
      <c r="A574">
        <v>2972</v>
      </c>
      <c r="B574" s="1">
        <v>2.0638888888888891</v>
      </c>
      <c r="C574">
        <v>56.55</v>
      </c>
      <c r="D574">
        <v>9.4242073399452501E-4</v>
      </c>
      <c r="E574">
        <f t="shared" si="8"/>
        <v>9.4242073399452501E-4</v>
      </c>
    </row>
    <row r="575" spans="1:5" x14ac:dyDescent="0.25">
      <c r="A575">
        <v>2973</v>
      </c>
      <c r="B575" s="1">
        <v>2.0645833333333332</v>
      </c>
      <c r="C575">
        <v>57.19</v>
      </c>
      <c r="D575">
        <v>9.5310889132455001E-4</v>
      </c>
      <c r="E575">
        <f t="shared" si="8"/>
        <v>9.5310889132455001E-4</v>
      </c>
    </row>
    <row r="576" spans="1:5" x14ac:dyDescent="0.25">
      <c r="A576">
        <v>2974</v>
      </c>
      <c r="B576" s="1">
        <v>2.0652777777777778</v>
      </c>
      <c r="C576">
        <v>57.77</v>
      </c>
      <c r="D576">
        <v>9.6277142411319396E-4</v>
      </c>
      <c r="E576">
        <f t="shared" si="8"/>
        <v>9.6277142411319396E-4</v>
      </c>
    </row>
    <row r="577" spans="1:5" x14ac:dyDescent="0.25">
      <c r="A577">
        <v>2975</v>
      </c>
      <c r="B577" s="1">
        <v>2.0659722222222223</v>
      </c>
      <c r="C577">
        <v>58.28</v>
      </c>
      <c r="D577">
        <v>9.7137563740809605E-4</v>
      </c>
      <c r="E577">
        <f t="shared" si="8"/>
        <v>9.7137563740809605E-4</v>
      </c>
    </row>
    <row r="578" spans="1:5" x14ac:dyDescent="0.25">
      <c r="A578">
        <v>2976</v>
      </c>
      <c r="B578" s="1">
        <v>2.0666666666666669</v>
      </c>
      <c r="C578">
        <v>58.73</v>
      </c>
      <c r="D578">
        <v>9.7889241727506702E-4</v>
      </c>
      <c r="E578">
        <f t="shared" si="8"/>
        <v>9.7889241727506702E-4</v>
      </c>
    </row>
    <row r="579" spans="1:5" x14ac:dyDescent="0.25">
      <c r="A579">
        <v>2977</v>
      </c>
      <c r="B579" s="1">
        <v>2.067361111111111</v>
      </c>
      <c r="C579">
        <v>59.12</v>
      </c>
      <c r="D579">
        <v>9.8529632931041995E-4</v>
      </c>
      <c r="E579">
        <f t="shared" ref="E579:E642" si="9">D579*$H$3</f>
        <v>9.8529632931041995E-4</v>
      </c>
    </row>
    <row r="580" spans="1:5" x14ac:dyDescent="0.25">
      <c r="A580">
        <v>2978</v>
      </c>
      <c r="B580" s="1">
        <v>2.0680555555555555</v>
      </c>
      <c r="C580">
        <v>59.43</v>
      </c>
      <c r="D580">
        <v>9.9056570470293696E-4</v>
      </c>
      <c r="E580">
        <f t="shared" si="9"/>
        <v>9.9056570470293696E-4</v>
      </c>
    </row>
    <row r="581" spans="1:5" x14ac:dyDescent="0.25">
      <c r="A581">
        <v>2979</v>
      </c>
      <c r="B581" s="1">
        <v>2.0687500000000001</v>
      </c>
      <c r="C581">
        <v>59.68</v>
      </c>
      <c r="D581">
        <v>9.9468271355427208E-4</v>
      </c>
      <c r="E581">
        <f t="shared" si="9"/>
        <v>9.9468271355427208E-4</v>
      </c>
    </row>
    <row r="582" spans="1:5" x14ac:dyDescent="0.25">
      <c r="A582">
        <v>2980</v>
      </c>
      <c r="B582" s="1">
        <v>2.0694444444444446</v>
      </c>
      <c r="C582">
        <v>59.86</v>
      </c>
      <c r="D582">
        <v>9.9763342520967904E-4</v>
      </c>
      <c r="E582">
        <f t="shared" si="9"/>
        <v>9.9763342520967904E-4</v>
      </c>
    </row>
    <row r="583" spans="1:5" x14ac:dyDescent="0.25">
      <c r="A583">
        <v>2981</v>
      </c>
      <c r="B583" s="1">
        <v>2.0701388888888888</v>
      </c>
      <c r="C583">
        <v>59.96</v>
      </c>
      <c r="D583">
        <v>9.9940785539494293E-4</v>
      </c>
      <c r="E583">
        <f t="shared" si="9"/>
        <v>9.9940785539494293E-4</v>
      </c>
    </row>
    <row r="584" spans="1:5" x14ac:dyDescent="0.25">
      <c r="A584">
        <v>2982</v>
      </c>
      <c r="B584" s="1">
        <v>2.0708333333333333</v>
      </c>
      <c r="C584">
        <v>60</v>
      </c>
      <c r="D584">
        <v>1E-3</v>
      </c>
      <c r="E584">
        <f t="shared" si="9"/>
        <v>1E-3</v>
      </c>
    </row>
    <row r="585" spans="1:5" x14ac:dyDescent="0.25">
      <c r="A585">
        <v>2983</v>
      </c>
      <c r="B585" s="1">
        <v>2.0715277777777779</v>
      </c>
      <c r="C585">
        <v>59.92</v>
      </c>
      <c r="D585">
        <v>9.9860189859058996E-4</v>
      </c>
      <c r="E585">
        <f t="shared" si="9"/>
        <v>9.9860189859058996E-4</v>
      </c>
    </row>
    <row r="586" spans="1:5" x14ac:dyDescent="0.25">
      <c r="A586">
        <v>2984</v>
      </c>
      <c r="B586" s="1">
        <v>2.0722222222222224</v>
      </c>
      <c r="C586">
        <v>59.66</v>
      </c>
      <c r="D586">
        <v>9.9441541311256392E-4</v>
      </c>
      <c r="E586">
        <f t="shared" si="9"/>
        <v>9.9441541311256392E-4</v>
      </c>
    </row>
    <row r="587" spans="1:5" x14ac:dyDescent="0.25">
      <c r="A587">
        <v>2985</v>
      </c>
      <c r="B587" s="1">
        <v>2.0729166666666665</v>
      </c>
      <c r="C587">
        <v>59.25</v>
      </c>
      <c r="D587">
        <v>9.8746395609091309E-4</v>
      </c>
      <c r="E587">
        <f t="shared" si="9"/>
        <v>9.8746395609091309E-4</v>
      </c>
    </row>
    <row r="588" spans="1:5" x14ac:dyDescent="0.25">
      <c r="A588">
        <v>2986</v>
      </c>
      <c r="B588" s="1">
        <v>2.0736111111111111</v>
      </c>
      <c r="C588">
        <v>58.67</v>
      </c>
      <c r="D588">
        <v>9.7778640289307201E-4</v>
      </c>
      <c r="E588">
        <f t="shared" si="9"/>
        <v>9.7778640289307201E-4</v>
      </c>
    </row>
    <row r="589" spans="1:5" x14ac:dyDescent="0.25">
      <c r="A589">
        <v>2987</v>
      </c>
      <c r="B589" s="1">
        <v>2.0743055555555556</v>
      </c>
      <c r="C589">
        <v>57.93</v>
      </c>
      <c r="D589">
        <v>9.6543687432210502E-4</v>
      </c>
      <c r="E589">
        <f t="shared" si="9"/>
        <v>9.6543687432210502E-4</v>
      </c>
    </row>
    <row r="590" spans="1:5" x14ac:dyDescent="0.25">
      <c r="A590">
        <v>2988</v>
      </c>
      <c r="B590" s="1">
        <v>2.0750000000000002</v>
      </c>
      <c r="C590">
        <v>57.03</v>
      </c>
      <c r="D590">
        <v>9.5048443395121397E-4</v>
      </c>
      <c r="E590">
        <f t="shared" si="9"/>
        <v>9.5048443395121397E-4</v>
      </c>
    </row>
    <row r="591" spans="1:5" x14ac:dyDescent="0.25">
      <c r="A591">
        <v>2989</v>
      </c>
      <c r="B591" s="1">
        <v>2.0756944444444443</v>
      </c>
      <c r="C591">
        <v>55.98</v>
      </c>
      <c r="D591">
        <v>9.3301270189221795E-4</v>
      </c>
      <c r="E591">
        <f t="shared" si="9"/>
        <v>9.3301270189221795E-4</v>
      </c>
    </row>
    <row r="592" spans="1:5" x14ac:dyDescent="0.25">
      <c r="A592">
        <v>2990</v>
      </c>
      <c r="B592" s="1">
        <v>2.0763888888888888</v>
      </c>
      <c r="C592">
        <v>54.79</v>
      </c>
      <c r="D592">
        <v>9.1311938715799696E-4</v>
      </c>
      <c r="E592">
        <f t="shared" si="9"/>
        <v>9.1311938715799696E-4</v>
      </c>
    </row>
    <row r="593" spans="1:5" x14ac:dyDescent="0.25">
      <c r="A593">
        <v>2991</v>
      </c>
      <c r="B593" s="1">
        <v>2.0770833333333334</v>
      </c>
      <c r="C593">
        <v>53.45</v>
      </c>
      <c r="D593">
        <v>8.9091574123401497E-4</v>
      </c>
      <c r="E593">
        <f t="shared" si="9"/>
        <v>8.9091574123401497E-4</v>
      </c>
    </row>
    <row r="594" spans="1:5" x14ac:dyDescent="0.25">
      <c r="A594">
        <v>2992</v>
      </c>
      <c r="B594" s="1">
        <v>2.0777777777777779</v>
      </c>
      <c r="C594">
        <v>51.99</v>
      </c>
      <c r="D594">
        <v>8.6652593591491495E-4</v>
      </c>
      <c r="E594">
        <f t="shared" si="9"/>
        <v>8.6652593591491495E-4</v>
      </c>
    </row>
    <row r="595" spans="1:5" x14ac:dyDescent="0.25">
      <c r="A595">
        <v>2993</v>
      </c>
      <c r="B595" s="1">
        <v>2.0784722222222221</v>
      </c>
      <c r="C595">
        <v>50.41</v>
      </c>
      <c r="D595">
        <v>8.4008636888546295E-4</v>
      </c>
      <c r="E595">
        <f t="shared" si="9"/>
        <v>8.4008636888546295E-4</v>
      </c>
    </row>
    <row r="596" spans="1:5" x14ac:dyDescent="0.25">
      <c r="A596">
        <v>2994</v>
      </c>
      <c r="B596" s="1">
        <v>2.0791666666666666</v>
      </c>
      <c r="C596">
        <v>48.7</v>
      </c>
      <c r="D596">
        <v>8.11744900929372E-4</v>
      </c>
      <c r="E596">
        <f t="shared" si="9"/>
        <v>8.11744900929372E-4</v>
      </c>
    </row>
    <row r="597" spans="1:5" x14ac:dyDescent="0.25">
      <c r="A597">
        <v>2995</v>
      </c>
      <c r="B597" s="1">
        <v>2.0798611111111112</v>
      </c>
      <c r="C597">
        <v>46.9</v>
      </c>
      <c r="D597">
        <v>7.8166002903181796E-4</v>
      </c>
      <c r="E597">
        <f t="shared" si="9"/>
        <v>7.8166002903181796E-4</v>
      </c>
    </row>
    <row r="598" spans="1:5" x14ac:dyDescent="0.25">
      <c r="A598">
        <v>2996</v>
      </c>
      <c r="B598" s="1">
        <v>2.0805555555555557</v>
      </c>
      <c r="C598">
        <v>45</v>
      </c>
      <c r="D598">
        <v>7.5000000000000901E-4</v>
      </c>
      <c r="E598">
        <f t="shared" si="9"/>
        <v>7.5000000000000901E-4</v>
      </c>
    </row>
    <row r="599" spans="1:5" x14ac:dyDescent="0.25">
      <c r="A599">
        <v>2997</v>
      </c>
      <c r="B599" s="1">
        <v>2.0812499999999998</v>
      </c>
      <c r="C599">
        <v>43.02</v>
      </c>
      <c r="D599">
        <v>7.1694186955877505E-4</v>
      </c>
      <c r="E599">
        <f t="shared" si="9"/>
        <v>7.1694186955877505E-4</v>
      </c>
    </row>
    <row r="600" spans="1:5" x14ac:dyDescent="0.25">
      <c r="A600">
        <v>2998</v>
      </c>
      <c r="B600" s="1">
        <v>2.0819444444444444</v>
      </c>
      <c r="C600">
        <v>40.96</v>
      </c>
      <c r="D600">
        <v>6.8267051218319605E-4</v>
      </c>
      <c r="E600">
        <f t="shared" si="9"/>
        <v>6.8267051218319605E-4</v>
      </c>
    </row>
    <row r="601" spans="1:5" x14ac:dyDescent="0.25">
      <c r="A601">
        <v>2999</v>
      </c>
      <c r="B601" s="1">
        <v>2.0826388888888889</v>
      </c>
      <c r="C601">
        <v>38.840000000000003</v>
      </c>
      <c r="D601">
        <v>6.4737758720545199E-4</v>
      </c>
      <c r="E601">
        <f t="shared" si="9"/>
        <v>6.4737758720545199E-4</v>
      </c>
    </row>
    <row r="602" spans="1:5" x14ac:dyDescent="0.25">
      <c r="A602">
        <v>3000</v>
      </c>
      <c r="B602" s="1">
        <v>2.0833333333333335</v>
      </c>
      <c r="C602">
        <v>36.68</v>
      </c>
      <c r="D602">
        <v>6.1126046697815902E-4</v>
      </c>
      <c r="E602">
        <f t="shared" si="9"/>
        <v>6.1126046697815902E-4</v>
      </c>
    </row>
    <row r="603" spans="1:5" x14ac:dyDescent="0.25">
      <c r="A603">
        <v>3001</v>
      </c>
      <c r="B603" s="1">
        <v>2.0840277777777776</v>
      </c>
      <c r="C603">
        <v>34.47</v>
      </c>
      <c r="D603">
        <v>5.7452113308809104E-4</v>
      </c>
      <c r="E603">
        <f t="shared" si="9"/>
        <v>5.7452113308809104E-4</v>
      </c>
    </row>
    <row r="604" spans="1:5" x14ac:dyDescent="0.25">
      <c r="A604">
        <v>3002</v>
      </c>
      <c r="B604" s="1">
        <v>2.0847222222222221</v>
      </c>
      <c r="C604">
        <v>32.24</v>
      </c>
      <c r="D604">
        <v>5.37365046793218E-4</v>
      </c>
      <c r="E604">
        <f t="shared" si="9"/>
        <v>5.37365046793218E-4</v>
      </c>
    </row>
    <row r="605" spans="1:5" x14ac:dyDescent="0.25">
      <c r="A605">
        <v>3003</v>
      </c>
      <c r="B605" s="1">
        <v>2.0854166666666667</v>
      </c>
      <c r="C605">
        <v>30</v>
      </c>
      <c r="D605">
        <v>5.0000000000000695E-4</v>
      </c>
      <c r="E605">
        <f t="shared" si="9"/>
        <v>5.0000000000000695E-4</v>
      </c>
    </row>
    <row r="606" spans="1:5" x14ac:dyDescent="0.25">
      <c r="A606">
        <v>3004</v>
      </c>
      <c r="B606" s="1">
        <v>2.0861111111111112</v>
      </c>
      <c r="C606">
        <v>27.76</v>
      </c>
      <c r="D606">
        <v>4.6263495320678099E-4</v>
      </c>
      <c r="E606">
        <f t="shared" si="9"/>
        <v>4.6263495320678099E-4</v>
      </c>
    </row>
    <row r="607" spans="1:5" x14ac:dyDescent="0.25">
      <c r="A607">
        <v>3005</v>
      </c>
      <c r="B607" s="1">
        <v>2.0868055555555554</v>
      </c>
      <c r="C607">
        <v>25.53</v>
      </c>
      <c r="D607">
        <v>4.25478866911908E-4</v>
      </c>
      <c r="E607">
        <f t="shared" si="9"/>
        <v>4.25478866911908E-4</v>
      </c>
    </row>
    <row r="608" spans="1:5" x14ac:dyDescent="0.25">
      <c r="A608">
        <v>3006</v>
      </c>
      <c r="B608" s="1">
        <v>2.0874999999999999</v>
      </c>
      <c r="C608">
        <v>23.32</v>
      </c>
      <c r="D608">
        <v>3.8873953302184002E-4</v>
      </c>
      <c r="E608">
        <f t="shared" si="9"/>
        <v>3.8873953302184002E-4</v>
      </c>
    </row>
    <row r="609" spans="1:5" x14ac:dyDescent="0.25">
      <c r="A609">
        <v>3007</v>
      </c>
      <c r="B609" s="1">
        <v>2.0881944444444445</v>
      </c>
      <c r="C609">
        <v>21.16</v>
      </c>
      <c r="D609">
        <v>3.52622412794547E-4</v>
      </c>
      <c r="E609">
        <f t="shared" si="9"/>
        <v>3.52622412794547E-4</v>
      </c>
    </row>
    <row r="610" spans="1:5" x14ac:dyDescent="0.25">
      <c r="A610">
        <v>3008</v>
      </c>
      <c r="B610" s="1">
        <v>2.088888888888889</v>
      </c>
      <c r="C610">
        <v>19.04</v>
      </c>
      <c r="D610">
        <v>3.1732948781680299E-4</v>
      </c>
      <c r="E610">
        <f t="shared" si="9"/>
        <v>3.1732948781680299E-4</v>
      </c>
    </row>
    <row r="611" spans="1:5" x14ac:dyDescent="0.25">
      <c r="A611">
        <v>3009</v>
      </c>
      <c r="B611" s="1">
        <v>2.0895833333333331</v>
      </c>
      <c r="C611">
        <v>16.98</v>
      </c>
      <c r="D611">
        <v>2.8305813044122302E-4</v>
      </c>
      <c r="E611">
        <f t="shared" si="9"/>
        <v>2.8305813044122302E-4</v>
      </c>
    </row>
    <row r="612" spans="1:5" x14ac:dyDescent="0.25">
      <c r="A612">
        <v>3010</v>
      </c>
      <c r="B612" s="1">
        <v>2.0902777777777777</v>
      </c>
      <c r="C612">
        <v>15</v>
      </c>
      <c r="D612">
        <v>2.5000000000000402E-4</v>
      </c>
      <c r="E612">
        <f t="shared" si="9"/>
        <v>2.5000000000000402E-4</v>
      </c>
    </row>
    <row r="613" spans="1:5" x14ac:dyDescent="0.25">
      <c r="A613">
        <v>3011</v>
      </c>
      <c r="B613" s="1">
        <v>2.0909722222222222</v>
      </c>
      <c r="C613">
        <v>0</v>
      </c>
      <c r="D613">
        <v>0</v>
      </c>
      <c r="E613">
        <f t="shared" si="9"/>
        <v>0</v>
      </c>
    </row>
    <row r="614" spans="1:5" x14ac:dyDescent="0.25">
      <c r="A614">
        <v>3012</v>
      </c>
      <c r="B614" s="1">
        <v>2.0916666666666668</v>
      </c>
      <c r="C614">
        <v>0</v>
      </c>
      <c r="D614">
        <v>0</v>
      </c>
      <c r="E614">
        <f t="shared" si="9"/>
        <v>0</v>
      </c>
    </row>
    <row r="615" spans="1:5" x14ac:dyDescent="0.25">
      <c r="A615">
        <v>3013</v>
      </c>
      <c r="B615" s="1">
        <v>2.0923611111111109</v>
      </c>
      <c r="C615">
        <v>0</v>
      </c>
      <c r="D615">
        <v>0</v>
      </c>
      <c r="E615">
        <f t="shared" si="9"/>
        <v>0</v>
      </c>
    </row>
    <row r="616" spans="1:5" x14ac:dyDescent="0.25">
      <c r="A616">
        <v>3014</v>
      </c>
      <c r="B616" s="1">
        <v>2.0930555555555554</v>
      </c>
      <c r="C616">
        <v>0</v>
      </c>
      <c r="D616">
        <v>0</v>
      </c>
      <c r="E616">
        <f t="shared" si="9"/>
        <v>0</v>
      </c>
    </row>
    <row r="617" spans="1:5" x14ac:dyDescent="0.25">
      <c r="A617">
        <v>3015</v>
      </c>
      <c r="B617" s="1">
        <v>2.09375</v>
      </c>
      <c r="C617">
        <v>0</v>
      </c>
      <c r="D617">
        <v>0</v>
      </c>
      <c r="E617">
        <f t="shared" si="9"/>
        <v>0</v>
      </c>
    </row>
    <row r="618" spans="1:5" x14ac:dyDescent="0.25">
      <c r="A618">
        <v>3016</v>
      </c>
      <c r="B618" s="1">
        <v>2.0944444444444446</v>
      </c>
      <c r="C618">
        <v>0</v>
      </c>
      <c r="D618">
        <v>0</v>
      </c>
      <c r="E618">
        <f t="shared" si="9"/>
        <v>0</v>
      </c>
    </row>
    <row r="619" spans="1:5" x14ac:dyDescent="0.25">
      <c r="A619">
        <v>3017</v>
      </c>
      <c r="B619" s="1">
        <v>2.0951388888888891</v>
      </c>
      <c r="C619">
        <v>0</v>
      </c>
      <c r="D619">
        <v>0</v>
      </c>
      <c r="E619">
        <f t="shared" si="9"/>
        <v>0</v>
      </c>
    </row>
    <row r="620" spans="1:5" x14ac:dyDescent="0.25">
      <c r="A620">
        <v>3018</v>
      </c>
      <c r="B620" s="1">
        <v>2.0958333333333332</v>
      </c>
      <c r="C620">
        <v>0</v>
      </c>
      <c r="D620">
        <v>0</v>
      </c>
      <c r="E620">
        <f t="shared" si="9"/>
        <v>0</v>
      </c>
    </row>
    <row r="621" spans="1:5" x14ac:dyDescent="0.25">
      <c r="A621">
        <v>3019</v>
      </c>
      <c r="B621" s="1">
        <v>2.0965277777777778</v>
      </c>
      <c r="C621">
        <v>0</v>
      </c>
      <c r="D621">
        <v>0</v>
      </c>
      <c r="E621">
        <f t="shared" si="9"/>
        <v>0</v>
      </c>
    </row>
    <row r="622" spans="1:5" x14ac:dyDescent="0.25">
      <c r="A622">
        <v>3020</v>
      </c>
      <c r="B622" s="1">
        <v>2.0972222222222223</v>
      </c>
      <c r="C622">
        <v>0</v>
      </c>
      <c r="D622">
        <v>0</v>
      </c>
      <c r="E622">
        <f t="shared" si="9"/>
        <v>0</v>
      </c>
    </row>
    <row r="623" spans="1:5" x14ac:dyDescent="0.25">
      <c r="A623">
        <v>3021</v>
      </c>
      <c r="B623" s="1">
        <v>2.0979166666666669</v>
      </c>
      <c r="C623">
        <v>0</v>
      </c>
      <c r="D623">
        <v>0</v>
      </c>
      <c r="E623">
        <f t="shared" si="9"/>
        <v>0</v>
      </c>
    </row>
    <row r="624" spans="1:5" x14ac:dyDescent="0.25">
      <c r="A624">
        <v>3022</v>
      </c>
      <c r="B624" s="1">
        <v>2.098611111111111</v>
      </c>
      <c r="C624">
        <v>0</v>
      </c>
      <c r="D624">
        <v>0</v>
      </c>
      <c r="E624">
        <f t="shared" si="9"/>
        <v>0</v>
      </c>
    </row>
    <row r="625" spans="1:5" x14ac:dyDescent="0.25">
      <c r="A625">
        <v>3023</v>
      </c>
      <c r="B625" s="1">
        <v>2.0993055555555555</v>
      </c>
      <c r="C625">
        <v>0</v>
      </c>
      <c r="D625">
        <v>0</v>
      </c>
      <c r="E625">
        <f t="shared" si="9"/>
        <v>0</v>
      </c>
    </row>
    <row r="626" spans="1:5" x14ac:dyDescent="0.25">
      <c r="A626">
        <v>3024</v>
      </c>
      <c r="B626" s="1">
        <v>2.1</v>
      </c>
      <c r="C626">
        <v>0</v>
      </c>
      <c r="D626">
        <v>0</v>
      </c>
      <c r="E626">
        <f t="shared" si="9"/>
        <v>0</v>
      </c>
    </row>
    <row r="627" spans="1:5" x14ac:dyDescent="0.25">
      <c r="A627">
        <v>3025</v>
      </c>
      <c r="B627" s="1">
        <v>2.1006944444444446</v>
      </c>
      <c r="C627">
        <v>0</v>
      </c>
      <c r="D627">
        <v>0</v>
      </c>
      <c r="E627">
        <f t="shared" si="9"/>
        <v>0</v>
      </c>
    </row>
    <row r="628" spans="1:5" x14ac:dyDescent="0.25">
      <c r="A628">
        <v>3026</v>
      </c>
      <c r="B628" s="1">
        <v>2.1013888888888888</v>
      </c>
      <c r="C628">
        <v>0</v>
      </c>
      <c r="D628">
        <v>0</v>
      </c>
      <c r="E628">
        <f t="shared" si="9"/>
        <v>0</v>
      </c>
    </row>
    <row r="629" spans="1:5" x14ac:dyDescent="0.25">
      <c r="A629">
        <v>3027</v>
      </c>
      <c r="B629" s="1">
        <v>2.1020833333333333</v>
      </c>
      <c r="C629">
        <v>0</v>
      </c>
      <c r="D629">
        <v>0</v>
      </c>
      <c r="E629">
        <f t="shared" si="9"/>
        <v>0</v>
      </c>
    </row>
    <row r="630" spans="1:5" x14ac:dyDescent="0.25">
      <c r="A630">
        <v>3028</v>
      </c>
      <c r="B630" s="1">
        <v>2.1027777777777779</v>
      </c>
      <c r="C630">
        <v>0</v>
      </c>
      <c r="D630">
        <v>0</v>
      </c>
      <c r="E630">
        <f t="shared" si="9"/>
        <v>0</v>
      </c>
    </row>
    <row r="631" spans="1:5" x14ac:dyDescent="0.25">
      <c r="A631">
        <v>3029</v>
      </c>
      <c r="B631" s="1">
        <v>2.1034722222222224</v>
      </c>
      <c r="C631">
        <v>0</v>
      </c>
      <c r="D631">
        <v>0</v>
      </c>
      <c r="E631">
        <f t="shared" si="9"/>
        <v>0</v>
      </c>
    </row>
    <row r="632" spans="1:5" x14ac:dyDescent="0.25">
      <c r="A632">
        <v>3030</v>
      </c>
      <c r="B632" s="1">
        <v>2.1041666666666665</v>
      </c>
      <c r="C632">
        <v>0</v>
      </c>
      <c r="D632">
        <v>0</v>
      </c>
      <c r="E632">
        <f t="shared" si="9"/>
        <v>0</v>
      </c>
    </row>
    <row r="633" spans="1:5" x14ac:dyDescent="0.25">
      <c r="A633">
        <v>3031</v>
      </c>
      <c r="B633" s="1">
        <v>2.1048611111111111</v>
      </c>
      <c r="C633">
        <v>0</v>
      </c>
      <c r="D633">
        <v>0</v>
      </c>
      <c r="E633">
        <f t="shared" si="9"/>
        <v>0</v>
      </c>
    </row>
    <row r="634" spans="1:5" x14ac:dyDescent="0.25">
      <c r="A634">
        <v>3032</v>
      </c>
      <c r="B634" s="1">
        <v>2.1055555555555556</v>
      </c>
      <c r="C634">
        <v>0</v>
      </c>
      <c r="D634">
        <v>0</v>
      </c>
      <c r="E634">
        <f t="shared" si="9"/>
        <v>0</v>
      </c>
    </row>
    <row r="635" spans="1:5" x14ac:dyDescent="0.25">
      <c r="A635">
        <v>3033</v>
      </c>
      <c r="B635" s="1">
        <v>2.1062500000000002</v>
      </c>
      <c r="C635">
        <v>0</v>
      </c>
      <c r="D635">
        <v>0</v>
      </c>
      <c r="E635">
        <f t="shared" si="9"/>
        <v>0</v>
      </c>
    </row>
    <row r="636" spans="1:5" x14ac:dyDescent="0.25">
      <c r="A636">
        <v>3034</v>
      </c>
      <c r="B636" s="1">
        <v>2.1069444444444443</v>
      </c>
      <c r="C636">
        <v>0</v>
      </c>
      <c r="D636">
        <v>0</v>
      </c>
      <c r="E636">
        <f t="shared" si="9"/>
        <v>0</v>
      </c>
    </row>
    <row r="637" spans="1:5" x14ac:dyDescent="0.25">
      <c r="A637">
        <v>3035</v>
      </c>
      <c r="B637" s="1">
        <v>2.1076388888888888</v>
      </c>
      <c r="C637">
        <v>0</v>
      </c>
      <c r="D637">
        <v>0</v>
      </c>
      <c r="E637">
        <f t="shared" si="9"/>
        <v>0</v>
      </c>
    </row>
    <row r="638" spans="1:5" x14ac:dyDescent="0.25">
      <c r="A638">
        <v>3036</v>
      </c>
      <c r="B638" s="1">
        <v>2.1083333333333334</v>
      </c>
      <c r="C638">
        <v>0</v>
      </c>
      <c r="D638">
        <v>0</v>
      </c>
      <c r="E638">
        <f t="shared" si="9"/>
        <v>0</v>
      </c>
    </row>
    <row r="639" spans="1:5" x14ac:dyDescent="0.25">
      <c r="A639">
        <v>3037</v>
      </c>
      <c r="B639" s="1">
        <v>2.1090277777777779</v>
      </c>
      <c r="C639">
        <v>0</v>
      </c>
      <c r="D639">
        <v>0</v>
      </c>
      <c r="E639">
        <f t="shared" si="9"/>
        <v>0</v>
      </c>
    </row>
    <row r="640" spans="1:5" x14ac:dyDescent="0.25">
      <c r="A640">
        <v>3038</v>
      </c>
      <c r="B640" s="1">
        <v>2.1097222222222221</v>
      </c>
      <c r="C640">
        <v>0</v>
      </c>
      <c r="D640">
        <v>0</v>
      </c>
      <c r="E640">
        <f t="shared" si="9"/>
        <v>0</v>
      </c>
    </row>
    <row r="641" spans="1:5" x14ac:dyDescent="0.25">
      <c r="A641">
        <v>3039</v>
      </c>
      <c r="B641" s="1">
        <v>2.1104166666666666</v>
      </c>
      <c r="C641">
        <v>0</v>
      </c>
      <c r="D641">
        <v>0</v>
      </c>
      <c r="E641">
        <f t="shared" si="9"/>
        <v>0</v>
      </c>
    </row>
    <row r="642" spans="1:5" x14ac:dyDescent="0.25">
      <c r="A642">
        <v>3040</v>
      </c>
      <c r="B642" s="1">
        <v>2.1111111111111112</v>
      </c>
      <c r="C642">
        <v>0</v>
      </c>
      <c r="D642">
        <v>0</v>
      </c>
      <c r="E642">
        <f t="shared" si="9"/>
        <v>0</v>
      </c>
    </row>
    <row r="643" spans="1:5" x14ac:dyDescent="0.25">
      <c r="A643">
        <v>3041</v>
      </c>
      <c r="B643" s="1">
        <v>2.1118055555555557</v>
      </c>
      <c r="C643">
        <v>0</v>
      </c>
      <c r="D643">
        <v>0</v>
      </c>
      <c r="E643">
        <f t="shared" ref="E643:E706" si="10">D643*$H$3</f>
        <v>0</v>
      </c>
    </row>
    <row r="644" spans="1:5" x14ac:dyDescent="0.25">
      <c r="A644">
        <v>3042</v>
      </c>
      <c r="B644" s="1">
        <v>2.1124999999999998</v>
      </c>
      <c r="C644">
        <v>0</v>
      </c>
      <c r="D644">
        <v>0</v>
      </c>
      <c r="E644">
        <f t="shared" si="10"/>
        <v>0</v>
      </c>
    </row>
    <row r="645" spans="1:5" x14ac:dyDescent="0.25">
      <c r="A645">
        <v>3043</v>
      </c>
      <c r="B645" s="1">
        <v>2.1131944444444444</v>
      </c>
      <c r="C645">
        <v>0</v>
      </c>
      <c r="D645">
        <v>0</v>
      </c>
      <c r="E645">
        <f t="shared" si="10"/>
        <v>0</v>
      </c>
    </row>
    <row r="646" spans="1:5" x14ac:dyDescent="0.25">
      <c r="A646">
        <v>3044</v>
      </c>
      <c r="B646" s="1">
        <v>2.1138888888888889</v>
      </c>
      <c r="C646">
        <v>0</v>
      </c>
      <c r="D646">
        <v>0</v>
      </c>
      <c r="E646">
        <f t="shared" si="10"/>
        <v>0</v>
      </c>
    </row>
    <row r="647" spans="1:5" x14ac:dyDescent="0.25">
      <c r="A647">
        <v>3045</v>
      </c>
      <c r="B647" s="1">
        <v>2.1145833333333335</v>
      </c>
      <c r="C647">
        <v>0</v>
      </c>
      <c r="D647">
        <v>0</v>
      </c>
      <c r="E647">
        <f t="shared" si="10"/>
        <v>0</v>
      </c>
    </row>
    <row r="648" spans="1:5" x14ac:dyDescent="0.25">
      <c r="A648">
        <v>3046</v>
      </c>
      <c r="B648" s="1">
        <v>2.1152777777777776</v>
      </c>
      <c r="C648">
        <v>0</v>
      </c>
      <c r="D648">
        <v>0</v>
      </c>
      <c r="E648">
        <f t="shared" si="10"/>
        <v>0</v>
      </c>
    </row>
    <row r="649" spans="1:5" x14ac:dyDescent="0.25">
      <c r="A649">
        <v>3047</v>
      </c>
      <c r="B649" s="1">
        <v>2.1159722222222221</v>
      </c>
      <c r="C649">
        <v>0</v>
      </c>
      <c r="D649">
        <v>0</v>
      </c>
      <c r="E649">
        <f t="shared" si="10"/>
        <v>0</v>
      </c>
    </row>
    <row r="650" spans="1:5" x14ac:dyDescent="0.25">
      <c r="A650">
        <v>3048</v>
      </c>
      <c r="B650" s="1">
        <v>2.1166666666666667</v>
      </c>
      <c r="C650">
        <v>0</v>
      </c>
      <c r="D650">
        <v>0</v>
      </c>
      <c r="E650">
        <f t="shared" si="10"/>
        <v>0</v>
      </c>
    </row>
    <row r="651" spans="1:5" x14ac:dyDescent="0.25">
      <c r="A651">
        <v>3049</v>
      </c>
      <c r="B651" s="1">
        <v>2.1173611111111112</v>
      </c>
      <c r="C651">
        <v>0</v>
      </c>
      <c r="D651">
        <v>0</v>
      </c>
      <c r="E651">
        <f t="shared" si="10"/>
        <v>0</v>
      </c>
    </row>
    <row r="652" spans="1:5" x14ac:dyDescent="0.25">
      <c r="A652">
        <v>3050</v>
      </c>
      <c r="B652" s="1">
        <v>2.1180555555555554</v>
      </c>
      <c r="C652">
        <v>0</v>
      </c>
      <c r="D652">
        <v>0</v>
      </c>
      <c r="E652">
        <f t="shared" si="10"/>
        <v>0</v>
      </c>
    </row>
    <row r="653" spans="1:5" x14ac:dyDescent="0.25">
      <c r="A653">
        <v>3051</v>
      </c>
      <c r="B653" s="1">
        <v>2.1187499999999999</v>
      </c>
      <c r="C653">
        <v>0</v>
      </c>
      <c r="D653">
        <v>0</v>
      </c>
      <c r="E653">
        <f t="shared" si="10"/>
        <v>0</v>
      </c>
    </row>
    <row r="654" spans="1:5" x14ac:dyDescent="0.25">
      <c r="A654">
        <v>3052</v>
      </c>
      <c r="B654" s="1">
        <v>2.1194444444444445</v>
      </c>
      <c r="C654">
        <v>0</v>
      </c>
      <c r="D654">
        <v>0</v>
      </c>
      <c r="E654">
        <f t="shared" si="10"/>
        <v>0</v>
      </c>
    </row>
    <row r="655" spans="1:5" x14ac:dyDescent="0.25">
      <c r="A655">
        <v>3053</v>
      </c>
      <c r="B655" s="1">
        <v>2.120138888888889</v>
      </c>
      <c r="C655">
        <v>0</v>
      </c>
      <c r="D655">
        <v>0</v>
      </c>
      <c r="E655">
        <f t="shared" si="10"/>
        <v>0</v>
      </c>
    </row>
    <row r="656" spans="1:5" x14ac:dyDescent="0.25">
      <c r="A656">
        <v>3054</v>
      </c>
      <c r="B656" s="1">
        <v>2.1208333333333331</v>
      </c>
      <c r="C656">
        <v>0</v>
      </c>
      <c r="D656">
        <v>0</v>
      </c>
      <c r="E656">
        <f t="shared" si="10"/>
        <v>0</v>
      </c>
    </row>
    <row r="657" spans="1:5" x14ac:dyDescent="0.25">
      <c r="A657">
        <v>3055</v>
      </c>
      <c r="B657" s="1">
        <v>2.1215277777777777</v>
      </c>
      <c r="C657">
        <v>0</v>
      </c>
      <c r="D657">
        <v>0</v>
      </c>
      <c r="E657">
        <f t="shared" si="10"/>
        <v>0</v>
      </c>
    </row>
    <row r="658" spans="1:5" x14ac:dyDescent="0.25">
      <c r="A658">
        <v>3056</v>
      </c>
      <c r="B658" s="1">
        <v>2.1222222222222222</v>
      </c>
      <c r="C658">
        <v>0</v>
      </c>
      <c r="D658">
        <v>0</v>
      </c>
      <c r="E658">
        <f t="shared" si="10"/>
        <v>0</v>
      </c>
    </row>
    <row r="659" spans="1:5" x14ac:dyDescent="0.25">
      <c r="A659">
        <v>3057</v>
      </c>
      <c r="B659" s="1">
        <v>2.1229166666666668</v>
      </c>
      <c r="C659">
        <v>0</v>
      </c>
      <c r="D659">
        <v>0</v>
      </c>
      <c r="E659">
        <f t="shared" si="10"/>
        <v>0</v>
      </c>
    </row>
    <row r="660" spans="1:5" x14ac:dyDescent="0.25">
      <c r="A660">
        <v>3058</v>
      </c>
      <c r="B660" s="1">
        <v>2.1236111111111109</v>
      </c>
      <c r="C660">
        <v>0</v>
      </c>
      <c r="D660">
        <v>0</v>
      </c>
      <c r="E660">
        <f t="shared" si="10"/>
        <v>0</v>
      </c>
    </row>
    <row r="661" spans="1:5" x14ac:dyDescent="0.25">
      <c r="A661">
        <v>3059</v>
      </c>
      <c r="B661" s="1">
        <v>2.1243055555555554</v>
      </c>
      <c r="C661">
        <v>0</v>
      </c>
      <c r="D661">
        <v>0</v>
      </c>
      <c r="E661">
        <f t="shared" si="10"/>
        <v>0</v>
      </c>
    </row>
    <row r="662" spans="1:5" x14ac:dyDescent="0.25">
      <c r="A662">
        <v>3060</v>
      </c>
      <c r="B662" s="1">
        <v>2.125</v>
      </c>
      <c r="C662">
        <v>0</v>
      </c>
      <c r="D662">
        <v>0</v>
      </c>
      <c r="E662">
        <f t="shared" si="10"/>
        <v>0</v>
      </c>
    </row>
    <row r="663" spans="1:5" x14ac:dyDescent="0.25">
      <c r="A663">
        <v>3061</v>
      </c>
      <c r="B663" s="1">
        <v>2.1256944444444446</v>
      </c>
      <c r="C663">
        <v>0</v>
      </c>
      <c r="D663">
        <v>0</v>
      </c>
      <c r="E663">
        <f t="shared" si="10"/>
        <v>0</v>
      </c>
    </row>
    <row r="664" spans="1:5" x14ac:dyDescent="0.25">
      <c r="A664">
        <v>3062</v>
      </c>
      <c r="B664" s="1">
        <v>2.1263888888888891</v>
      </c>
      <c r="C664">
        <v>0</v>
      </c>
      <c r="D664">
        <v>0</v>
      </c>
      <c r="E664">
        <f t="shared" si="10"/>
        <v>0</v>
      </c>
    </row>
    <row r="665" spans="1:5" x14ac:dyDescent="0.25">
      <c r="A665">
        <v>3063</v>
      </c>
      <c r="B665" s="1">
        <v>2.1270833333333332</v>
      </c>
      <c r="C665">
        <v>0</v>
      </c>
      <c r="D665">
        <v>0</v>
      </c>
      <c r="E665">
        <f t="shared" si="10"/>
        <v>0</v>
      </c>
    </row>
    <row r="666" spans="1:5" x14ac:dyDescent="0.25">
      <c r="A666">
        <v>3064</v>
      </c>
      <c r="B666" s="1">
        <v>2.1277777777777778</v>
      </c>
      <c r="C666">
        <v>0</v>
      </c>
      <c r="D666">
        <v>0</v>
      </c>
      <c r="E666">
        <f t="shared" si="10"/>
        <v>0</v>
      </c>
    </row>
    <row r="667" spans="1:5" x14ac:dyDescent="0.25">
      <c r="A667">
        <v>3065</v>
      </c>
      <c r="B667" s="1">
        <v>2.1284722222222223</v>
      </c>
      <c r="C667">
        <v>0</v>
      </c>
      <c r="D667">
        <v>0</v>
      </c>
      <c r="E667">
        <f t="shared" si="10"/>
        <v>0</v>
      </c>
    </row>
    <row r="668" spans="1:5" x14ac:dyDescent="0.25">
      <c r="A668">
        <v>3066</v>
      </c>
      <c r="B668" s="1">
        <v>2.1291666666666669</v>
      </c>
      <c r="C668">
        <v>0</v>
      </c>
      <c r="D668">
        <v>0</v>
      </c>
      <c r="E668">
        <f t="shared" si="10"/>
        <v>0</v>
      </c>
    </row>
    <row r="669" spans="1:5" x14ac:dyDescent="0.25">
      <c r="A669">
        <v>3067</v>
      </c>
      <c r="B669" s="1">
        <v>2.129861111111111</v>
      </c>
      <c r="C669">
        <v>0</v>
      </c>
      <c r="D669">
        <v>0</v>
      </c>
      <c r="E669">
        <f t="shared" si="10"/>
        <v>0</v>
      </c>
    </row>
    <row r="670" spans="1:5" x14ac:dyDescent="0.25">
      <c r="A670">
        <v>3068</v>
      </c>
      <c r="B670" s="1">
        <v>2.1305555555555555</v>
      </c>
      <c r="C670">
        <v>0</v>
      </c>
      <c r="D670">
        <v>0</v>
      </c>
      <c r="E670">
        <f t="shared" si="10"/>
        <v>0</v>
      </c>
    </row>
    <row r="671" spans="1:5" x14ac:dyDescent="0.25">
      <c r="A671">
        <v>3069</v>
      </c>
      <c r="B671" s="1">
        <v>2.1312500000000001</v>
      </c>
      <c r="C671">
        <v>0</v>
      </c>
      <c r="D671">
        <v>0</v>
      </c>
      <c r="E671">
        <f t="shared" si="10"/>
        <v>0</v>
      </c>
    </row>
    <row r="672" spans="1:5" x14ac:dyDescent="0.25">
      <c r="A672">
        <v>3070</v>
      </c>
      <c r="B672" s="1">
        <v>2.1319444444444446</v>
      </c>
      <c r="C672">
        <v>0</v>
      </c>
      <c r="D672">
        <v>0</v>
      </c>
      <c r="E672">
        <f t="shared" si="10"/>
        <v>0</v>
      </c>
    </row>
    <row r="673" spans="1:5" x14ac:dyDescent="0.25">
      <c r="A673">
        <v>3071</v>
      </c>
      <c r="B673" s="1">
        <v>2.1326388888888888</v>
      </c>
      <c r="C673">
        <v>0</v>
      </c>
      <c r="D673">
        <v>0</v>
      </c>
      <c r="E673">
        <f t="shared" si="10"/>
        <v>0</v>
      </c>
    </row>
    <row r="674" spans="1:5" x14ac:dyDescent="0.25">
      <c r="A674">
        <v>3072</v>
      </c>
      <c r="B674" s="1">
        <v>2.1333333333333333</v>
      </c>
      <c r="C674">
        <v>0</v>
      </c>
      <c r="D674">
        <v>0</v>
      </c>
      <c r="E674">
        <f t="shared" si="10"/>
        <v>0</v>
      </c>
    </row>
    <row r="675" spans="1:5" x14ac:dyDescent="0.25">
      <c r="A675">
        <v>3073</v>
      </c>
      <c r="B675" s="1">
        <v>2.1340277777777779</v>
      </c>
      <c r="C675">
        <v>0</v>
      </c>
      <c r="D675">
        <v>0</v>
      </c>
      <c r="E675">
        <f t="shared" si="10"/>
        <v>0</v>
      </c>
    </row>
    <row r="676" spans="1:5" x14ac:dyDescent="0.25">
      <c r="A676">
        <v>3074</v>
      </c>
      <c r="B676" s="1">
        <v>2.1347222222222224</v>
      </c>
      <c r="C676">
        <v>0</v>
      </c>
      <c r="D676">
        <v>0</v>
      </c>
      <c r="E676">
        <f t="shared" si="10"/>
        <v>0</v>
      </c>
    </row>
    <row r="677" spans="1:5" x14ac:dyDescent="0.25">
      <c r="A677">
        <v>3075</v>
      </c>
      <c r="B677" s="1">
        <v>2.1354166666666665</v>
      </c>
      <c r="C677">
        <v>0</v>
      </c>
      <c r="D677">
        <v>0</v>
      </c>
      <c r="E677">
        <f t="shared" si="10"/>
        <v>0</v>
      </c>
    </row>
    <row r="678" spans="1:5" x14ac:dyDescent="0.25">
      <c r="A678">
        <v>3076</v>
      </c>
      <c r="B678" s="1">
        <v>2.1361111111111111</v>
      </c>
      <c r="C678">
        <v>0</v>
      </c>
      <c r="D678">
        <v>0</v>
      </c>
      <c r="E678">
        <f t="shared" si="10"/>
        <v>0</v>
      </c>
    </row>
    <row r="679" spans="1:5" x14ac:dyDescent="0.25">
      <c r="A679">
        <v>3077</v>
      </c>
      <c r="B679" s="1">
        <v>2.1368055555555556</v>
      </c>
      <c r="C679">
        <v>0</v>
      </c>
      <c r="D679">
        <v>0</v>
      </c>
      <c r="E679">
        <f t="shared" si="10"/>
        <v>0</v>
      </c>
    </row>
    <row r="680" spans="1:5" x14ac:dyDescent="0.25">
      <c r="A680">
        <v>3078</v>
      </c>
      <c r="B680" s="1">
        <v>2.1375000000000002</v>
      </c>
      <c r="C680">
        <v>0</v>
      </c>
      <c r="D680">
        <v>0</v>
      </c>
      <c r="E680">
        <f t="shared" si="10"/>
        <v>0</v>
      </c>
    </row>
    <row r="681" spans="1:5" x14ac:dyDescent="0.25">
      <c r="A681">
        <v>3079</v>
      </c>
      <c r="B681" s="1">
        <v>2.1381944444444443</v>
      </c>
      <c r="C681">
        <v>0</v>
      </c>
      <c r="D681">
        <v>0</v>
      </c>
      <c r="E681">
        <f t="shared" si="10"/>
        <v>0</v>
      </c>
    </row>
    <row r="682" spans="1:5" x14ac:dyDescent="0.25">
      <c r="A682">
        <v>3080</v>
      </c>
      <c r="B682" s="1">
        <v>2.1388888888888888</v>
      </c>
      <c r="C682">
        <v>0</v>
      </c>
      <c r="D682">
        <v>0</v>
      </c>
      <c r="E682">
        <f t="shared" si="10"/>
        <v>0</v>
      </c>
    </row>
    <row r="683" spans="1:5" x14ac:dyDescent="0.25">
      <c r="A683">
        <v>3081</v>
      </c>
      <c r="B683" s="1">
        <v>2.1395833333333334</v>
      </c>
      <c r="C683">
        <v>0</v>
      </c>
      <c r="D683">
        <v>0</v>
      </c>
      <c r="E683">
        <f t="shared" si="10"/>
        <v>0</v>
      </c>
    </row>
    <row r="684" spans="1:5" x14ac:dyDescent="0.25">
      <c r="A684">
        <v>3082</v>
      </c>
      <c r="B684" s="1">
        <v>2.1402777777777779</v>
      </c>
      <c r="C684">
        <v>0</v>
      </c>
      <c r="D684">
        <v>0</v>
      </c>
      <c r="E684">
        <f t="shared" si="10"/>
        <v>0</v>
      </c>
    </row>
    <row r="685" spans="1:5" x14ac:dyDescent="0.25">
      <c r="A685">
        <v>3083</v>
      </c>
      <c r="B685" s="1">
        <v>2.1409722222222221</v>
      </c>
      <c r="C685">
        <v>0</v>
      </c>
      <c r="D685">
        <v>0</v>
      </c>
      <c r="E685">
        <f t="shared" si="10"/>
        <v>0</v>
      </c>
    </row>
    <row r="686" spans="1:5" x14ac:dyDescent="0.25">
      <c r="A686">
        <v>3084</v>
      </c>
      <c r="B686" s="1">
        <v>2.1416666666666666</v>
      </c>
      <c r="C686">
        <v>0</v>
      </c>
      <c r="D686">
        <v>0</v>
      </c>
      <c r="E686">
        <f t="shared" si="10"/>
        <v>0</v>
      </c>
    </row>
    <row r="687" spans="1:5" x14ac:dyDescent="0.25">
      <c r="A687">
        <v>3085</v>
      </c>
      <c r="B687" s="1">
        <v>2.1423611111111112</v>
      </c>
      <c r="C687">
        <v>0</v>
      </c>
      <c r="D687">
        <v>0</v>
      </c>
      <c r="E687">
        <f t="shared" si="10"/>
        <v>0</v>
      </c>
    </row>
    <row r="688" spans="1:5" x14ac:dyDescent="0.25">
      <c r="A688">
        <v>3086</v>
      </c>
      <c r="B688" s="1">
        <v>2.1430555555555557</v>
      </c>
      <c r="C688">
        <v>0</v>
      </c>
      <c r="D688">
        <v>0</v>
      </c>
      <c r="E688">
        <f t="shared" si="10"/>
        <v>0</v>
      </c>
    </row>
    <row r="689" spans="1:5" x14ac:dyDescent="0.25">
      <c r="A689">
        <v>3087</v>
      </c>
      <c r="B689" s="1">
        <v>2.1437499999999998</v>
      </c>
      <c r="C689">
        <v>0</v>
      </c>
      <c r="D689">
        <v>0</v>
      </c>
      <c r="E689">
        <f t="shared" si="10"/>
        <v>0</v>
      </c>
    </row>
    <row r="690" spans="1:5" x14ac:dyDescent="0.25">
      <c r="A690">
        <v>3088</v>
      </c>
      <c r="B690" s="1">
        <v>2.1444444444444444</v>
      </c>
      <c r="C690">
        <v>0</v>
      </c>
      <c r="D690">
        <v>0</v>
      </c>
      <c r="E690">
        <f t="shared" si="10"/>
        <v>0</v>
      </c>
    </row>
    <row r="691" spans="1:5" x14ac:dyDescent="0.25">
      <c r="A691">
        <v>3089</v>
      </c>
      <c r="B691" s="1">
        <v>2.1451388888888889</v>
      </c>
      <c r="C691">
        <v>0</v>
      </c>
      <c r="D691">
        <v>0</v>
      </c>
      <c r="E691">
        <f t="shared" si="10"/>
        <v>0</v>
      </c>
    </row>
    <row r="692" spans="1:5" x14ac:dyDescent="0.25">
      <c r="A692">
        <v>3090</v>
      </c>
      <c r="B692" s="1">
        <v>2.1458333333333335</v>
      </c>
      <c r="C692">
        <v>0</v>
      </c>
      <c r="D692">
        <v>0</v>
      </c>
      <c r="E692">
        <f t="shared" si="10"/>
        <v>0</v>
      </c>
    </row>
    <row r="693" spans="1:5" x14ac:dyDescent="0.25">
      <c r="A693">
        <v>3091</v>
      </c>
      <c r="B693" s="1">
        <v>2.1465277777777776</v>
      </c>
      <c r="C693">
        <v>0</v>
      </c>
      <c r="D693">
        <v>0</v>
      </c>
      <c r="E693">
        <f t="shared" si="10"/>
        <v>0</v>
      </c>
    </row>
    <row r="694" spans="1:5" x14ac:dyDescent="0.25">
      <c r="A694">
        <v>3092</v>
      </c>
      <c r="B694" s="1">
        <v>2.1472222222222221</v>
      </c>
      <c r="C694">
        <v>0</v>
      </c>
      <c r="D694">
        <v>0</v>
      </c>
      <c r="E694">
        <f t="shared" si="10"/>
        <v>0</v>
      </c>
    </row>
    <row r="695" spans="1:5" x14ac:dyDescent="0.25">
      <c r="A695">
        <v>3093</v>
      </c>
      <c r="B695" s="1">
        <v>2.1479166666666667</v>
      </c>
      <c r="C695">
        <v>0</v>
      </c>
      <c r="D695">
        <v>0</v>
      </c>
      <c r="E695">
        <f t="shared" si="10"/>
        <v>0</v>
      </c>
    </row>
    <row r="696" spans="1:5" x14ac:dyDescent="0.25">
      <c r="A696">
        <v>3094</v>
      </c>
      <c r="B696" s="1">
        <v>2.1486111111111112</v>
      </c>
      <c r="C696">
        <v>0</v>
      </c>
      <c r="D696">
        <v>0</v>
      </c>
      <c r="E696">
        <f t="shared" si="10"/>
        <v>0</v>
      </c>
    </row>
    <row r="697" spans="1:5" x14ac:dyDescent="0.25">
      <c r="A697">
        <v>3095</v>
      </c>
      <c r="B697" s="1">
        <v>2.1493055555555554</v>
      </c>
      <c r="C697">
        <v>0</v>
      </c>
      <c r="D697">
        <v>0</v>
      </c>
      <c r="E697">
        <f t="shared" si="10"/>
        <v>0</v>
      </c>
    </row>
    <row r="698" spans="1:5" x14ac:dyDescent="0.25">
      <c r="A698">
        <v>3096</v>
      </c>
      <c r="B698" s="1">
        <v>2.15</v>
      </c>
      <c r="C698">
        <v>0</v>
      </c>
      <c r="D698">
        <v>0</v>
      </c>
      <c r="E698">
        <f t="shared" si="10"/>
        <v>0</v>
      </c>
    </row>
    <row r="699" spans="1:5" x14ac:dyDescent="0.25">
      <c r="A699">
        <v>3097</v>
      </c>
      <c r="B699" s="1">
        <v>2.1506944444444445</v>
      </c>
      <c r="C699">
        <v>0</v>
      </c>
      <c r="D699">
        <v>0</v>
      </c>
      <c r="E699">
        <f t="shared" si="10"/>
        <v>0</v>
      </c>
    </row>
    <row r="700" spans="1:5" x14ac:dyDescent="0.25">
      <c r="A700">
        <v>3098</v>
      </c>
      <c r="B700" s="1">
        <v>2.151388888888889</v>
      </c>
      <c r="C700">
        <v>0</v>
      </c>
      <c r="D700">
        <v>0</v>
      </c>
      <c r="E700">
        <f t="shared" si="10"/>
        <v>0</v>
      </c>
    </row>
    <row r="701" spans="1:5" x14ac:dyDescent="0.25">
      <c r="A701">
        <v>3099</v>
      </c>
      <c r="B701" s="1">
        <v>2.1520833333333331</v>
      </c>
      <c r="C701">
        <v>0</v>
      </c>
      <c r="D701">
        <v>0</v>
      </c>
      <c r="E701">
        <f t="shared" si="10"/>
        <v>0</v>
      </c>
    </row>
    <row r="702" spans="1:5" x14ac:dyDescent="0.25">
      <c r="A702">
        <v>3100</v>
      </c>
      <c r="B702" s="1">
        <v>2.1527777777777777</v>
      </c>
      <c r="C702">
        <v>0</v>
      </c>
      <c r="D702">
        <v>0</v>
      </c>
      <c r="E702">
        <f t="shared" si="10"/>
        <v>0</v>
      </c>
    </row>
    <row r="703" spans="1:5" x14ac:dyDescent="0.25">
      <c r="A703">
        <v>3101</v>
      </c>
      <c r="B703" s="1">
        <v>2.1534722222222222</v>
      </c>
      <c r="C703">
        <v>0</v>
      </c>
      <c r="D703">
        <v>0</v>
      </c>
      <c r="E703">
        <f t="shared" si="10"/>
        <v>0</v>
      </c>
    </row>
    <row r="704" spans="1:5" x14ac:dyDescent="0.25">
      <c r="A704">
        <v>3102</v>
      </c>
      <c r="B704" s="1">
        <v>2.1541666666666668</v>
      </c>
      <c r="C704">
        <v>0</v>
      </c>
      <c r="D704">
        <v>0</v>
      </c>
      <c r="E704">
        <f t="shared" si="10"/>
        <v>0</v>
      </c>
    </row>
    <row r="705" spans="1:5" x14ac:dyDescent="0.25">
      <c r="A705">
        <v>3103</v>
      </c>
      <c r="B705" s="1">
        <v>2.1548611111111109</v>
      </c>
      <c r="C705">
        <v>0</v>
      </c>
      <c r="D705">
        <v>0</v>
      </c>
      <c r="E705">
        <f t="shared" si="10"/>
        <v>0</v>
      </c>
    </row>
    <row r="706" spans="1:5" x14ac:dyDescent="0.25">
      <c r="A706">
        <v>3104</v>
      </c>
      <c r="B706" s="1">
        <v>2.1555555555555554</v>
      </c>
      <c r="C706">
        <v>0</v>
      </c>
      <c r="D706">
        <v>0</v>
      </c>
      <c r="E706">
        <f t="shared" si="10"/>
        <v>0</v>
      </c>
    </row>
    <row r="707" spans="1:5" x14ac:dyDescent="0.25">
      <c r="A707">
        <v>3105</v>
      </c>
      <c r="B707" s="1">
        <v>2.15625</v>
      </c>
      <c r="C707">
        <v>0</v>
      </c>
      <c r="D707">
        <v>0</v>
      </c>
      <c r="E707">
        <f t="shared" ref="E707:E770" si="11">D707*$H$3</f>
        <v>0</v>
      </c>
    </row>
    <row r="708" spans="1:5" x14ac:dyDescent="0.25">
      <c r="A708">
        <v>3106</v>
      </c>
      <c r="B708" s="1">
        <v>2.1569444444444446</v>
      </c>
      <c r="C708">
        <v>0</v>
      </c>
      <c r="D708">
        <v>0</v>
      </c>
      <c r="E708">
        <f t="shared" si="11"/>
        <v>0</v>
      </c>
    </row>
    <row r="709" spans="1:5" x14ac:dyDescent="0.25">
      <c r="A709">
        <v>3107</v>
      </c>
      <c r="B709" s="1">
        <v>2.1576388888888891</v>
      </c>
      <c r="C709">
        <v>0</v>
      </c>
      <c r="D709">
        <v>0</v>
      </c>
      <c r="E709">
        <f t="shared" si="11"/>
        <v>0</v>
      </c>
    </row>
    <row r="710" spans="1:5" x14ac:dyDescent="0.25">
      <c r="A710">
        <v>3108</v>
      </c>
      <c r="B710" s="1">
        <v>2.1583333333333332</v>
      </c>
      <c r="C710">
        <v>0</v>
      </c>
      <c r="D710">
        <v>0</v>
      </c>
      <c r="E710">
        <f t="shared" si="11"/>
        <v>0</v>
      </c>
    </row>
    <row r="711" spans="1:5" x14ac:dyDescent="0.25">
      <c r="A711">
        <v>3109</v>
      </c>
      <c r="B711" s="1">
        <v>2.1590277777777778</v>
      </c>
      <c r="C711">
        <v>0</v>
      </c>
      <c r="D711">
        <v>0</v>
      </c>
      <c r="E711">
        <f t="shared" si="11"/>
        <v>0</v>
      </c>
    </row>
    <row r="712" spans="1:5" x14ac:dyDescent="0.25">
      <c r="A712">
        <v>3110</v>
      </c>
      <c r="B712" s="1">
        <v>2.1597222222222223</v>
      </c>
      <c r="C712">
        <v>0</v>
      </c>
      <c r="D712">
        <v>0</v>
      </c>
      <c r="E712">
        <f t="shared" si="11"/>
        <v>0</v>
      </c>
    </row>
    <row r="713" spans="1:5" x14ac:dyDescent="0.25">
      <c r="A713">
        <v>3111</v>
      </c>
      <c r="B713" s="1">
        <v>2.1604166666666669</v>
      </c>
      <c r="C713">
        <v>0</v>
      </c>
      <c r="D713">
        <v>0</v>
      </c>
      <c r="E713">
        <f t="shared" si="11"/>
        <v>0</v>
      </c>
    </row>
    <row r="714" spans="1:5" x14ac:dyDescent="0.25">
      <c r="A714">
        <v>3112</v>
      </c>
      <c r="B714" s="1">
        <v>2.161111111111111</v>
      </c>
      <c r="C714">
        <v>0</v>
      </c>
      <c r="D714">
        <v>0</v>
      </c>
      <c r="E714">
        <f t="shared" si="11"/>
        <v>0</v>
      </c>
    </row>
    <row r="715" spans="1:5" x14ac:dyDescent="0.25">
      <c r="A715">
        <v>3113</v>
      </c>
      <c r="B715" s="1">
        <v>2.1618055555555555</v>
      </c>
      <c r="C715">
        <v>0</v>
      </c>
      <c r="D715">
        <v>0</v>
      </c>
      <c r="E715">
        <f t="shared" si="11"/>
        <v>0</v>
      </c>
    </row>
    <row r="716" spans="1:5" x14ac:dyDescent="0.25">
      <c r="A716">
        <v>3114</v>
      </c>
      <c r="B716" s="1">
        <v>2.1625000000000001</v>
      </c>
      <c r="C716">
        <v>0</v>
      </c>
      <c r="D716">
        <v>0</v>
      </c>
      <c r="E716">
        <f t="shared" si="11"/>
        <v>0</v>
      </c>
    </row>
    <row r="717" spans="1:5" x14ac:dyDescent="0.25">
      <c r="A717">
        <v>3115</v>
      </c>
      <c r="B717" s="1">
        <v>2.1631944444444446</v>
      </c>
      <c r="C717">
        <v>0</v>
      </c>
      <c r="D717">
        <v>0</v>
      </c>
      <c r="E717">
        <f t="shared" si="11"/>
        <v>0</v>
      </c>
    </row>
    <row r="718" spans="1:5" x14ac:dyDescent="0.25">
      <c r="A718">
        <v>3116</v>
      </c>
      <c r="B718" s="1">
        <v>2.1638888888888888</v>
      </c>
      <c r="C718">
        <v>0</v>
      </c>
      <c r="D718">
        <v>0</v>
      </c>
      <c r="E718">
        <f t="shared" si="11"/>
        <v>0</v>
      </c>
    </row>
    <row r="719" spans="1:5" x14ac:dyDescent="0.25">
      <c r="A719">
        <v>3117</v>
      </c>
      <c r="B719" s="1">
        <v>2.1645833333333333</v>
      </c>
      <c r="C719">
        <v>0</v>
      </c>
      <c r="D719">
        <v>0</v>
      </c>
      <c r="E719">
        <f t="shared" si="11"/>
        <v>0</v>
      </c>
    </row>
    <row r="720" spans="1:5" x14ac:dyDescent="0.25">
      <c r="A720">
        <v>3118</v>
      </c>
      <c r="B720" s="1">
        <v>2.1652777777777779</v>
      </c>
      <c r="C720">
        <v>0</v>
      </c>
      <c r="D720">
        <v>0</v>
      </c>
      <c r="E720">
        <f t="shared" si="11"/>
        <v>0</v>
      </c>
    </row>
    <row r="721" spans="1:5" x14ac:dyDescent="0.25">
      <c r="A721">
        <v>3119</v>
      </c>
      <c r="B721" s="1">
        <v>2.1659722222222224</v>
      </c>
      <c r="C721">
        <v>0</v>
      </c>
      <c r="D721">
        <v>0</v>
      </c>
      <c r="E721">
        <f t="shared" si="11"/>
        <v>0</v>
      </c>
    </row>
    <row r="722" spans="1:5" x14ac:dyDescent="0.25">
      <c r="A722">
        <v>3120</v>
      </c>
      <c r="B722" s="1">
        <v>2.1666666666666665</v>
      </c>
      <c r="C722">
        <v>0</v>
      </c>
      <c r="D722">
        <v>0</v>
      </c>
      <c r="E722">
        <f t="shared" si="11"/>
        <v>0</v>
      </c>
    </row>
    <row r="723" spans="1:5" x14ac:dyDescent="0.25">
      <c r="A723">
        <v>3121</v>
      </c>
      <c r="B723" s="1">
        <v>2.1673611111111111</v>
      </c>
      <c r="C723">
        <v>0</v>
      </c>
      <c r="D723">
        <v>0</v>
      </c>
      <c r="E723">
        <f t="shared" si="11"/>
        <v>0</v>
      </c>
    </row>
    <row r="724" spans="1:5" x14ac:dyDescent="0.25">
      <c r="A724">
        <v>3122</v>
      </c>
      <c r="B724" s="1">
        <v>2.1680555555555556</v>
      </c>
      <c r="C724">
        <v>0</v>
      </c>
      <c r="D724">
        <v>0</v>
      </c>
      <c r="E724">
        <f t="shared" si="11"/>
        <v>0</v>
      </c>
    </row>
    <row r="725" spans="1:5" x14ac:dyDescent="0.25">
      <c r="A725">
        <v>3123</v>
      </c>
      <c r="B725" s="1">
        <v>2.1687500000000002</v>
      </c>
      <c r="C725">
        <v>0</v>
      </c>
      <c r="D725">
        <v>0</v>
      </c>
      <c r="E725">
        <f t="shared" si="11"/>
        <v>0</v>
      </c>
    </row>
    <row r="726" spans="1:5" x14ac:dyDescent="0.25">
      <c r="A726">
        <v>3124</v>
      </c>
      <c r="B726" s="1">
        <v>2.1694444444444443</v>
      </c>
      <c r="C726">
        <v>0</v>
      </c>
      <c r="D726">
        <v>0</v>
      </c>
      <c r="E726">
        <f t="shared" si="11"/>
        <v>0</v>
      </c>
    </row>
    <row r="727" spans="1:5" x14ac:dyDescent="0.25">
      <c r="A727">
        <v>3125</v>
      </c>
      <c r="B727" s="1">
        <v>2.1701388888888888</v>
      </c>
      <c r="C727">
        <v>0</v>
      </c>
      <c r="D727">
        <v>0</v>
      </c>
      <c r="E727">
        <f t="shared" si="11"/>
        <v>0</v>
      </c>
    </row>
    <row r="728" spans="1:5" x14ac:dyDescent="0.25">
      <c r="A728">
        <v>3126</v>
      </c>
      <c r="B728" s="1">
        <v>2.1708333333333334</v>
      </c>
      <c r="C728">
        <v>0</v>
      </c>
      <c r="D728">
        <v>0</v>
      </c>
      <c r="E728">
        <f t="shared" si="11"/>
        <v>0</v>
      </c>
    </row>
    <row r="729" spans="1:5" x14ac:dyDescent="0.25">
      <c r="A729">
        <v>3127</v>
      </c>
      <c r="B729" s="1">
        <v>2.1715277777777779</v>
      </c>
      <c r="C729">
        <v>0</v>
      </c>
      <c r="D729">
        <v>0</v>
      </c>
      <c r="E729">
        <f t="shared" si="11"/>
        <v>0</v>
      </c>
    </row>
    <row r="730" spans="1:5" x14ac:dyDescent="0.25">
      <c r="A730">
        <v>3128</v>
      </c>
      <c r="B730" s="1">
        <v>2.1722222222222221</v>
      </c>
      <c r="C730">
        <v>0</v>
      </c>
      <c r="D730">
        <v>0</v>
      </c>
      <c r="E730">
        <f t="shared" si="11"/>
        <v>0</v>
      </c>
    </row>
    <row r="731" spans="1:5" x14ac:dyDescent="0.25">
      <c r="A731">
        <v>3129</v>
      </c>
      <c r="B731" s="1">
        <v>2.1729166666666666</v>
      </c>
      <c r="C731">
        <v>0</v>
      </c>
      <c r="D731">
        <v>0</v>
      </c>
      <c r="E731">
        <f t="shared" si="11"/>
        <v>0</v>
      </c>
    </row>
    <row r="732" spans="1:5" x14ac:dyDescent="0.25">
      <c r="A732">
        <v>3130</v>
      </c>
      <c r="B732" s="1">
        <v>2.1736111111111112</v>
      </c>
      <c r="C732">
        <v>0</v>
      </c>
      <c r="D732">
        <v>0</v>
      </c>
      <c r="E732">
        <f t="shared" si="11"/>
        <v>0</v>
      </c>
    </row>
    <row r="733" spans="1:5" x14ac:dyDescent="0.25">
      <c r="A733">
        <v>3131</v>
      </c>
      <c r="B733" s="1">
        <v>2.1743055555555557</v>
      </c>
      <c r="C733">
        <v>0</v>
      </c>
      <c r="D733">
        <v>0</v>
      </c>
      <c r="E733">
        <f t="shared" si="11"/>
        <v>0</v>
      </c>
    </row>
    <row r="734" spans="1:5" x14ac:dyDescent="0.25">
      <c r="A734">
        <v>3132</v>
      </c>
      <c r="B734" s="1">
        <v>2.1749999999999998</v>
      </c>
      <c r="C734">
        <v>0</v>
      </c>
      <c r="D734">
        <v>0</v>
      </c>
      <c r="E734">
        <f t="shared" si="11"/>
        <v>0</v>
      </c>
    </row>
    <row r="735" spans="1:5" x14ac:dyDescent="0.25">
      <c r="A735">
        <v>3133</v>
      </c>
      <c r="B735" s="1">
        <v>2.1756944444444444</v>
      </c>
      <c r="C735">
        <v>0</v>
      </c>
      <c r="D735">
        <v>0</v>
      </c>
      <c r="E735">
        <f t="shared" si="11"/>
        <v>0</v>
      </c>
    </row>
    <row r="736" spans="1:5" x14ac:dyDescent="0.25">
      <c r="A736">
        <v>3134</v>
      </c>
      <c r="B736" s="1">
        <v>2.1763888888888889</v>
      </c>
      <c r="C736">
        <v>0</v>
      </c>
      <c r="D736">
        <v>0</v>
      </c>
      <c r="E736">
        <f t="shared" si="11"/>
        <v>0</v>
      </c>
    </row>
    <row r="737" spans="1:5" x14ac:dyDescent="0.25">
      <c r="A737">
        <v>3135</v>
      </c>
      <c r="B737" s="1">
        <v>2.1770833333333335</v>
      </c>
      <c r="C737">
        <v>0</v>
      </c>
      <c r="D737">
        <v>0</v>
      </c>
      <c r="E737">
        <f t="shared" si="11"/>
        <v>0</v>
      </c>
    </row>
    <row r="738" spans="1:5" x14ac:dyDescent="0.25">
      <c r="A738">
        <v>3136</v>
      </c>
      <c r="B738" s="1">
        <v>2.1777777777777776</v>
      </c>
      <c r="C738">
        <v>0</v>
      </c>
      <c r="D738">
        <v>0</v>
      </c>
      <c r="E738">
        <f t="shared" si="11"/>
        <v>0</v>
      </c>
    </row>
    <row r="739" spans="1:5" x14ac:dyDescent="0.25">
      <c r="A739">
        <v>3137</v>
      </c>
      <c r="B739" s="1">
        <v>2.1784722222222221</v>
      </c>
      <c r="C739">
        <v>0</v>
      </c>
      <c r="D739">
        <v>0</v>
      </c>
      <c r="E739">
        <f t="shared" si="11"/>
        <v>0</v>
      </c>
    </row>
    <row r="740" spans="1:5" x14ac:dyDescent="0.25">
      <c r="A740">
        <v>3138</v>
      </c>
      <c r="B740" s="1">
        <v>2.1791666666666667</v>
      </c>
      <c r="C740">
        <v>0</v>
      </c>
      <c r="D740">
        <v>0</v>
      </c>
      <c r="E740">
        <f t="shared" si="11"/>
        <v>0</v>
      </c>
    </row>
    <row r="741" spans="1:5" x14ac:dyDescent="0.25">
      <c r="A741">
        <v>3139</v>
      </c>
      <c r="B741" s="1">
        <v>2.1798611111111112</v>
      </c>
      <c r="C741">
        <v>0</v>
      </c>
      <c r="D741">
        <v>0</v>
      </c>
      <c r="E741">
        <f t="shared" si="11"/>
        <v>0</v>
      </c>
    </row>
    <row r="742" spans="1:5" x14ac:dyDescent="0.25">
      <c r="A742">
        <v>3140</v>
      </c>
      <c r="B742" s="1">
        <v>2.1805555555555554</v>
      </c>
      <c r="C742">
        <v>0</v>
      </c>
      <c r="D742">
        <v>0</v>
      </c>
      <c r="E742">
        <f t="shared" si="11"/>
        <v>0</v>
      </c>
    </row>
    <row r="743" spans="1:5" x14ac:dyDescent="0.25">
      <c r="A743">
        <v>3141</v>
      </c>
      <c r="B743" s="1">
        <v>2.1812499999999999</v>
      </c>
      <c r="C743">
        <v>0</v>
      </c>
      <c r="D743">
        <v>0</v>
      </c>
      <c r="E743">
        <f t="shared" si="11"/>
        <v>0</v>
      </c>
    </row>
    <row r="744" spans="1:5" x14ac:dyDescent="0.25">
      <c r="A744">
        <v>3142</v>
      </c>
      <c r="B744" s="1">
        <v>2.1819444444444445</v>
      </c>
      <c r="C744">
        <v>0</v>
      </c>
      <c r="D744">
        <v>0</v>
      </c>
      <c r="E744">
        <f t="shared" si="11"/>
        <v>0</v>
      </c>
    </row>
    <row r="745" spans="1:5" x14ac:dyDescent="0.25">
      <c r="A745">
        <v>3143</v>
      </c>
      <c r="B745" s="1">
        <v>2.182638888888889</v>
      </c>
      <c r="C745">
        <v>0</v>
      </c>
      <c r="D745">
        <v>0</v>
      </c>
      <c r="E745">
        <f t="shared" si="11"/>
        <v>0</v>
      </c>
    </row>
    <row r="746" spans="1:5" x14ac:dyDescent="0.25">
      <c r="A746">
        <v>3144</v>
      </c>
      <c r="B746" s="1">
        <v>2.1833333333333331</v>
      </c>
      <c r="C746">
        <v>0</v>
      </c>
      <c r="D746">
        <v>0</v>
      </c>
      <c r="E746">
        <f t="shared" si="11"/>
        <v>0</v>
      </c>
    </row>
    <row r="747" spans="1:5" x14ac:dyDescent="0.25">
      <c r="A747">
        <v>3145</v>
      </c>
      <c r="B747" s="1">
        <v>2.1840277777777777</v>
      </c>
      <c r="C747">
        <v>0</v>
      </c>
      <c r="D747">
        <v>0</v>
      </c>
      <c r="E747">
        <f t="shared" si="11"/>
        <v>0</v>
      </c>
    </row>
    <row r="748" spans="1:5" x14ac:dyDescent="0.25">
      <c r="A748">
        <v>3146</v>
      </c>
      <c r="B748" s="1">
        <v>2.1847222222222222</v>
      </c>
      <c r="C748">
        <v>0</v>
      </c>
      <c r="D748">
        <v>0</v>
      </c>
      <c r="E748">
        <f t="shared" si="11"/>
        <v>0</v>
      </c>
    </row>
    <row r="749" spans="1:5" x14ac:dyDescent="0.25">
      <c r="A749">
        <v>3147</v>
      </c>
      <c r="B749" s="1">
        <v>2.1854166666666668</v>
      </c>
      <c r="C749">
        <v>0</v>
      </c>
      <c r="D749">
        <v>0</v>
      </c>
      <c r="E749">
        <f t="shared" si="11"/>
        <v>0</v>
      </c>
    </row>
    <row r="750" spans="1:5" x14ac:dyDescent="0.25">
      <c r="A750">
        <v>3148</v>
      </c>
      <c r="B750" s="1">
        <v>2.1861111111111109</v>
      </c>
      <c r="C750">
        <v>0</v>
      </c>
      <c r="D750">
        <v>0</v>
      </c>
      <c r="E750">
        <f t="shared" si="11"/>
        <v>0</v>
      </c>
    </row>
    <row r="751" spans="1:5" x14ac:dyDescent="0.25">
      <c r="A751">
        <v>3149</v>
      </c>
      <c r="B751" s="1">
        <v>2.1868055555555554</v>
      </c>
      <c r="C751">
        <v>0</v>
      </c>
      <c r="D751">
        <v>0</v>
      </c>
      <c r="E751">
        <f t="shared" si="11"/>
        <v>0</v>
      </c>
    </row>
    <row r="752" spans="1:5" x14ac:dyDescent="0.25">
      <c r="A752">
        <v>3150</v>
      </c>
      <c r="B752" s="1">
        <v>2.1875</v>
      </c>
      <c r="C752">
        <v>0</v>
      </c>
      <c r="D752">
        <v>0</v>
      </c>
      <c r="E752">
        <f t="shared" si="11"/>
        <v>0</v>
      </c>
    </row>
    <row r="753" spans="1:5" x14ac:dyDescent="0.25">
      <c r="A753">
        <v>3151</v>
      </c>
      <c r="B753" s="1">
        <v>2.1881944444444446</v>
      </c>
      <c r="C753">
        <v>0</v>
      </c>
      <c r="D753">
        <v>0</v>
      </c>
      <c r="E753">
        <f t="shared" si="11"/>
        <v>0</v>
      </c>
    </row>
    <row r="754" spans="1:5" x14ac:dyDescent="0.25">
      <c r="A754">
        <v>3152</v>
      </c>
      <c r="B754" s="1">
        <v>2.1888888888888891</v>
      </c>
      <c r="C754">
        <v>0</v>
      </c>
      <c r="D754">
        <v>0</v>
      </c>
      <c r="E754">
        <f t="shared" si="11"/>
        <v>0</v>
      </c>
    </row>
    <row r="755" spans="1:5" x14ac:dyDescent="0.25">
      <c r="A755">
        <v>3153</v>
      </c>
      <c r="B755" s="1">
        <v>2.1895833333333332</v>
      </c>
      <c r="C755">
        <v>0</v>
      </c>
      <c r="D755">
        <v>0</v>
      </c>
      <c r="E755">
        <f t="shared" si="11"/>
        <v>0</v>
      </c>
    </row>
    <row r="756" spans="1:5" x14ac:dyDescent="0.25">
      <c r="A756">
        <v>3154</v>
      </c>
      <c r="B756" s="1">
        <v>2.1902777777777778</v>
      </c>
      <c r="C756">
        <v>0</v>
      </c>
      <c r="D756">
        <v>0</v>
      </c>
      <c r="E756">
        <f t="shared" si="11"/>
        <v>0</v>
      </c>
    </row>
    <row r="757" spans="1:5" x14ac:dyDescent="0.25">
      <c r="A757">
        <v>3155</v>
      </c>
      <c r="B757" s="1">
        <v>2.1909722222222223</v>
      </c>
      <c r="C757">
        <v>0</v>
      </c>
      <c r="D757">
        <v>0</v>
      </c>
      <c r="E757">
        <f t="shared" si="11"/>
        <v>0</v>
      </c>
    </row>
    <row r="758" spans="1:5" x14ac:dyDescent="0.25">
      <c r="A758">
        <v>3156</v>
      </c>
      <c r="B758" s="1">
        <v>2.1916666666666669</v>
      </c>
      <c r="C758">
        <v>0</v>
      </c>
      <c r="D758">
        <v>0</v>
      </c>
      <c r="E758">
        <f t="shared" si="11"/>
        <v>0</v>
      </c>
    </row>
    <row r="759" spans="1:5" x14ac:dyDescent="0.25">
      <c r="A759">
        <v>3157</v>
      </c>
      <c r="B759" s="1">
        <v>2.192361111111111</v>
      </c>
      <c r="C759">
        <v>0</v>
      </c>
      <c r="D759">
        <v>0</v>
      </c>
      <c r="E759">
        <f t="shared" si="11"/>
        <v>0</v>
      </c>
    </row>
    <row r="760" spans="1:5" x14ac:dyDescent="0.25">
      <c r="A760">
        <v>3158</v>
      </c>
      <c r="B760" s="1">
        <v>2.1930555555555555</v>
      </c>
      <c r="C760">
        <v>0</v>
      </c>
      <c r="D760">
        <v>0</v>
      </c>
      <c r="E760">
        <f t="shared" si="11"/>
        <v>0</v>
      </c>
    </row>
    <row r="761" spans="1:5" x14ac:dyDescent="0.25">
      <c r="A761">
        <v>3159</v>
      </c>
      <c r="B761" s="1">
        <v>2.1937500000000001</v>
      </c>
      <c r="C761">
        <v>0</v>
      </c>
      <c r="D761">
        <v>0</v>
      </c>
      <c r="E761">
        <f t="shared" si="11"/>
        <v>0</v>
      </c>
    </row>
    <row r="762" spans="1:5" x14ac:dyDescent="0.25">
      <c r="A762">
        <v>3160</v>
      </c>
      <c r="B762" s="1">
        <v>2.1944444444444446</v>
      </c>
      <c r="C762">
        <v>0</v>
      </c>
      <c r="D762">
        <v>0</v>
      </c>
      <c r="E762">
        <f t="shared" si="11"/>
        <v>0</v>
      </c>
    </row>
    <row r="763" spans="1:5" x14ac:dyDescent="0.25">
      <c r="A763">
        <v>3161</v>
      </c>
      <c r="B763" s="1">
        <v>2.1951388888888888</v>
      </c>
      <c r="C763">
        <v>0</v>
      </c>
      <c r="D763">
        <v>0</v>
      </c>
      <c r="E763">
        <f t="shared" si="11"/>
        <v>0</v>
      </c>
    </row>
    <row r="764" spans="1:5" x14ac:dyDescent="0.25">
      <c r="A764">
        <v>3162</v>
      </c>
      <c r="B764" s="1">
        <v>2.1958333333333333</v>
      </c>
      <c r="C764">
        <v>0</v>
      </c>
      <c r="D764">
        <v>0</v>
      </c>
      <c r="E764">
        <f t="shared" si="11"/>
        <v>0</v>
      </c>
    </row>
    <row r="765" spans="1:5" x14ac:dyDescent="0.25">
      <c r="A765">
        <v>3163</v>
      </c>
      <c r="B765" s="1">
        <v>2.1965277777777779</v>
      </c>
      <c r="C765">
        <v>0</v>
      </c>
      <c r="D765">
        <v>0</v>
      </c>
      <c r="E765">
        <f t="shared" si="11"/>
        <v>0</v>
      </c>
    </row>
    <row r="766" spans="1:5" x14ac:dyDescent="0.25">
      <c r="A766">
        <v>3164</v>
      </c>
      <c r="B766" s="1">
        <v>2.1972222222222224</v>
      </c>
      <c r="C766">
        <v>0</v>
      </c>
      <c r="D766">
        <v>0</v>
      </c>
      <c r="E766">
        <f t="shared" si="11"/>
        <v>0</v>
      </c>
    </row>
    <row r="767" spans="1:5" x14ac:dyDescent="0.25">
      <c r="A767">
        <v>3165</v>
      </c>
      <c r="B767" s="1">
        <v>2.1979166666666665</v>
      </c>
      <c r="C767">
        <v>0</v>
      </c>
      <c r="D767">
        <v>0</v>
      </c>
      <c r="E767">
        <f t="shared" si="11"/>
        <v>0</v>
      </c>
    </row>
    <row r="768" spans="1:5" x14ac:dyDescent="0.25">
      <c r="A768">
        <v>3166</v>
      </c>
      <c r="B768" s="1">
        <v>2.1986111111111111</v>
      </c>
      <c r="C768">
        <v>0</v>
      </c>
      <c r="D768">
        <v>0</v>
      </c>
      <c r="E768">
        <f t="shared" si="11"/>
        <v>0</v>
      </c>
    </row>
    <row r="769" spans="1:5" x14ac:dyDescent="0.25">
      <c r="A769">
        <v>3167</v>
      </c>
      <c r="B769" s="1">
        <v>2.1993055555555556</v>
      </c>
      <c r="C769">
        <v>0</v>
      </c>
      <c r="D769">
        <v>0</v>
      </c>
      <c r="E769">
        <f t="shared" si="11"/>
        <v>0</v>
      </c>
    </row>
    <row r="770" spans="1:5" x14ac:dyDescent="0.25">
      <c r="A770">
        <v>3168</v>
      </c>
      <c r="B770" s="1">
        <v>2.2000000000000002</v>
      </c>
      <c r="C770">
        <v>0</v>
      </c>
      <c r="D770">
        <v>0</v>
      </c>
      <c r="E770">
        <f t="shared" si="11"/>
        <v>0</v>
      </c>
    </row>
    <row r="771" spans="1:5" x14ac:dyDescent="0.25">
      <c r="A771">
        <v>3169</v>
      </c>
      <c r="B771" s="1">
        <v>2.2006944444444443</v>
      </c>
      <c r="C771">
        <v>0</v>
      </c>
      <c r="D771">
        <v>0</v>
      </c>
      <c r="E771">
        <f t="shared" ref="E771:E834" si="12">D771*$H$3</f>
        <v>0</v>
      </c>
    </row>
    <row r="772" spans="1:5" x14ac:dyDescent="0.25">
      <c r="A772">
        <v>3170</v>
      </c>
      <c r="B772" s="1">
        <v>2.2013888888888888</v>
      </c>
      <c r="C772">
        <v>0</v>
      </c>
      <c r="D772">
        <v>0</v>
      </c>
      <c r="E772">
        <f t="shared" si="12"/>
        <v>0</v>
      </c>
    </row>
    <row r="773" spans="1:5" x14ac:dyDescent="0.25">
      <c r="A773">
        <v>3171</v>
      </c>
      <c r="B773" s="1">
        <v>2.2020833333333334</v>
      </c>
      <c r="C773">
        <v>0</v>
      </c>
      <c r="D773">
        <v>0</v>
      </c>
      <c r="E773">
        <f t="shared" si="12"/>
        <v>0</v>
      </c>
    </row>
    <row r="774" spans="1:5" x14ac:dyDescent="0.25">
      <c r="A774">
        <v>3172</v>
      </c>
      <c r="B774" s="1">
        <v>2.2027777777777779</v>
      </c>
      <c r="C774">
        <v>0</v>
      </c>
      <c r="D774">
        <v>0</v>
      </c>
      <c r="E774">
        <f t="shared" si="12"/>
        <v>0</v>
      </c>
    </row>
    <row r="775" spans="1:5" x14ac:dyDescent="0.25">
      <c r="A775">
        <v>3173</v>
      </c>
      <c r="B775" s="1">
        <v>2.2034722222222221</v>
      </c>
      <c r="C775">
        <v>0</v>
      </c>
      <c r="D775">
        <v>0</v>
      </c>
      <c r="E775">
        <f t="shared" si="12"/>
        <v>0</v>
      </c>
    </row>
    <row r="776" spans="1:5" x14ac:dyDescent="0.25">
      <c r="A776">
        <v>3174</v>
      </c>
      <c r="B776" s="1">
        <v>2.2041666666666666</v>
      </c>
      <c r="C776">
        <v>0</v>
      </c>
      <c r="D776">
        <v>0</v>
      </c>
      <c r="E776">
        <f t="shared" si="12"/>
        <v>0</v>
      </c>
    </row>
    <row r="777" spans="1:5" x14ac:dyDescent="0.25">
      <c r="A777">
        <v>3175</v>
      </c>
      <c r="B777" s="1">
        <v>2.2048611111111112</v>
      </c>
      <c r="C777">
        <v>0</v>
      </c>
      <c r="D777">
        <v>0</v>
      </c>
      <c r="E777">
        <f t="shared" si="12"/>
        <v>0</v>
      </c>
    </row>
    <row r="778" spans="1:5" x14ac:dyDescent="0.25">
      <c r="A778">
        <v>3176</v>
      </c>
      <c r="B778" s="1">
        <v>2.2055555555555557</v>
      </c>
      <c r="C778">
        <v>0</v>
      </c>
      <c r="D778">
        <v>0</v>
      </c>
      <c r="E778">
        <f t="shared" si="12"/>
        <v>0</v>
      </c>
    </row>
    <row r="779" spans="1:5" x14ac:dyDescent="0.25">
      <c r="A779">
        <v>3177</v>
      </c>
      <c r="B779" s="1">
        <v>2.2062499999999998</v>
      </c>
      <c r="C779">
        <v>0</v>
      </c>
      <c r="D779">
        <v>0</v>
      </c>
      <c r="E779">
        <f t="shared" si="12"/>
        <v>0</v>
      </c>
    </row>
    <row r="780" spans="1:5" x14ac:dyDescent="0.25">
      <c r="A780">
        <v>3178</v>
      </c>
      <c r="B780" s="1">
        <v>2.2069444444444444</v>
      </c>
      <c r="C780">
        <v>0</v>
      </c>
      <c r="D780">
        <v>0</v>
      </c>
      <c r="E780">
        <f t="shared" si="12"/>
        <v>0</v>
      </c>
    </row>
    <row r="781" spans="1:5" x14ac:dyDescent="0.25">
      <c r="A781">
        <v>3179</v>
      </c>
      <c r="B781" s="1">
        <v>2.2076388888888889</v>
      </c>
      <c r="C781">
        <v>0</v>
      </c>
      <c r="D781">
        <v>0</v>
      </c>
      <c r="E781">
        <f t="shared" si="12"/>
        <v>0</v>
      </c>
    </row>
    <row r="782" spans="1:5" x14ac:dyDescent="0.25">
      <c r="A782">
        <v>3180</v>
      </c>
      <c r="B782" s="1">
        <v>2.2083333333333335</v>
      </c>
      <c r="C782">
        <v>0</v>
      </c>
      <c r="D782">
        <v>0</v>
      </c>
      <c r="E782">
        <f t="shared" si="12"/>
        <v>0</v>
      </c>
    </row>
    <row r="783" spans="1:5" x14ac:dyDescent="0.25">
      <c r="A783">
        <v>3181</v>
      </c>
      <c r="B783" s="1">
        <v>2.2090277777777776</v>
      </c>
      <c r="C783">
        <v>0</v>
      </c>
      <c r="D783">
        <v>0</v>
      </c>
      <c r="E783">
        <f t="shared" si="12"/>
        <v>0</v>
      </c>
    </row>
    <row r="784" spans="1:5" x14ac:dyDescent="0.25">
      <c r="A784">
        <v>3182</v>
      </c>
      <c r="B784" s="1">
        <v>2.2097222222222221</v>
      </c>
      <c r="C784">
        <v>0</v>
      </c>
      <c r="D784">
        <v>0</v>
      </c>
      <c r="E784">
        <f t="shared" si="12"/>
        <v>0</v>
      </c>
    </row>
    <row r="785" spans="1:5" x14ac:dyDescent="0.25">
      <c r="A785">
        <v>3183</v>
      </c>
      <c r="B785" s="1">
        <v>2.2104166666666667</v>
      </c>
      <c r="C785">
        <v>0</v>
      </c>
      <c r="D785">
        <v>0</v>
      </c>
      <c r="E785">
        <f t="shared" si="12"/>
        <v>0</v>
      </c>
    </row>
    <row r="786" spans="1:5" x14ac:dyDescent="0.25">
      <c r="A786">
        <v>3184</v>
      </c>
      <c r="B786" s="1">
        <v>2.2111111111111112</v>
      </c>
      <c r="C786">
        <v>0</v>
      </c>
      <c r="D786">
        <v>0</v>
      </c>
      <c r="E786">
        <f t="shared" si="12"/>
        <v>0</v>
      </c>
    </row>
    <row r="787" spans="1:5" x14ac:dyDescent="0.25">
      <c r="A787">
        <v>3185</v>
      </c>
      <c r="B787" s="1">
        <v>2.2118055555555554</v>
      </c>
      <c r="C787">
        <v>0</v>
      </c>
      <c r="D787">
        <v>0</v>
      </c>
      <c r="E787">
        <f t="shared" si="12"/>
        <v>0</v>
      </c>
    </row>
    <row r="788" spans="1:5" x14ac:dyDescent="0.25">
      <c r="A788">
        <v>3186</v>
      </c>
      <c r="B788" s="1">
        <v>2.2124999999999999</v>
      </c>
      <c r="C788">
        <v>0</v>
      </c>
      <c r="D788">
        <v>0</v>
      </c>
      <c r="E788">
        <f t="shared" si="12"/>
        <v>0</v>
      </c>
    </row>
    <row r="789" spans="1:5" x14ac:dyDescent="0.25">
      <c r="A789">
        <v>3187</v>
      </c>
      <c r="B789" s="1">
        <v>2.2131944444444445</v>
      </c>
      <c r="C789">
        <v>0</v>
      </c>
      <c r="D789">
        <v>0</v>
      </c>
      <c r="E789">
        <f t="shared" si="12"/>
        <v>0</v>
      </c>
    </row>
    <row r="790" spans="1:5" x14ac:dyDescent="0.25">
      <c r="A790">
        <v>3188</v>
      </c>
      <c r="B790" s="1">
        <v>2.213888888888889</v>
      </c>
      <c r="C790">
        <v>0</v>
      </c>
      <c r="D790">
        <v>0</v>
      </c>
      <c r="E790">
        <f t="shared" si="12"/>
        <v>0</v>
      </c>
    </row>
    <row r="791" spans="1:5" x14ac:dyDescent="0.25">
      <c r="A791">
        <v>3189</v>
      </c>
      <c r="B791" s="1">
        <v>2.2145833333333331</v>
      </c>
      <c r="C791">
        <v>0</v>
      </c>
      <c r="D791">
        <v>0</v>
      </c>
      <c r="E791">
        <f t="shared" si="12"/>
        <v>0</v>
      </c>
    </row>
    <row r="792" spans="1:5" x14ac:dyDescent="0.25">
      <c r="A792">
        <v>3190</v>
      </c>
      <c r="B792" s="1">
        <v>2.2152777777777777</v>
      </c>
      <c r="C792">
        <v>0</v>
      </c>
      <c r="D792">
        <v>0</v>
      </c>
      <c r="E792">
        <f t="shared" si="12"/>
        <v>0</v>
      </c>
    </row>
    <row r="793" spans="1:5" x14ac:dyDescent="0.25">
      <c r="A793">
        <v>3191</v>
      </c>
      <c r="B793" s="1">
        <v>2.2159722222222222</v>
      </c>
      <c r="C793">
        <v>0</v>
      </c>
      <c r="D793">
        <v>0</v>
      </c>
      <c r="E793">
        <f t="shared" si="12"/>
        <v>0</v>
      </c>
    </row>
    <row r="794" spans="1:5" x14ac:dyDescent="0.25">
      <c r="A794">
        <v>3192</v>
      </c>
      <c r="B794" s="1">
        <v>2.2166666666666668</v>
      </c>
      <c r="C794">
        <v>0</v>
      </c>
      <c r="D794">
        <v>0</v>
      </c>
      <c r="E794">
        <f t="shared" si="12"/>
        <v>0</v>
      </c>
    </row>
    <row r="795" spans="1:5" x14ac:dyDescent="0.25">
      <c r="A795">
        <v>3193</v>
      </c>
      <c r="B795" s="1">
        <v>2.2173611111111109</v>
      </c>
      <c r="C795">
        <v>0</v>
      </c>
      <c r="D795">
        <v>0</v>
      </c>
      <c r="E795">
        <f t="shared" si="12"/>
        <v>0</v>
      </c>
    </row>
    <row r="796" spans="1:5" x14ac:dyDescent="0.25">
      <c r="A796">
        <v>3194</v>
      </c>
      <c r="B796" s="1">
        <v>2.2180555555555554</v>
      </c>
      <c r="C796">
        <v>0</v>
      </c>
      <c r="D796">
        <v>0</v>
      </c>
      <c r="E796">
        <f t="shared" si="12"/>
        <v>0</v>
      </c>
    </row>
    <row r="797" spans="1:5" x14ac:dyDescent="0.25">
      <c r="A797">
        <v>3195</v>
      </c>
      <c r="B797" s="1">
        <v>2.21875</v>
      </c>
      <c r="C797">
        <v>0</v>
      </c>
      <c r="D797">
        <v>0</v>
      </c>
      <c r="E797">
        <f t="shared" si="12"/>
        <v>0</v>
      </c>
    </row>
    <row r="798" spans="1:5" x14ac:dyDescent="0.25">
      <c r="A798">
        <v>3196</v>
      </c>
      <c r="B798" s="1">
        <v>2.2194444444444446</v>
      </c>
      <c r="C798">
        <v>0</v>
      </c>
      <c r="D798">
        <v>0</v>
      </c>
      <c r="E798">
        <f t="shared" si="12"/>
        <v>0</v>
      </c>
    </row>
    <row r="799" spans="1:5" x14ac:dyDescent="0.25">
      <c r="A799">
        <v>3197</v>
      </c>
      <c r="B799" s="1">
        <v>2.2201388888888891</v>
      </c>
      <c r="C799">
        <v>0</v>
      </c>
      <c r="D799">
        <v>0</v>
      </c>
      <c r="E799">
        <f t="shared" si="12"/>
        <v>0</v>
      </c>
    </row>
    <row r="800" spans="1:5" x14ac:dyDescent="0.25">
      <c r="A800">
        <v>3198</v>
      </c>
      <c r="B800" s="1">
        <v>2.2208333333333332</v>
      </c>
      <c r="C800">
        <v>0</v>
      </c>
      <c r="D800">
        <v>0</v>
      </c>
      <c r="E800">
        <f t="shared" si="12"/>
        <v>0</v>
      </c>
    </row>
    <row r="801" spans="1:5" x14ac:dyDescent="0.25">
      <c r="A801">
        <v>3199</v>
      </c>
      <c r="B801" s="1">
        <v>2.2215277777777778</v>
      </c>
      <c r="C801">
        <v>0</v>
      </c>
      <c r="D801">
        <v>0</v>
      </c>
      <c r="E801">
        <f t="shared" si="12"/>
        <v>0</v>
      </c>
    </row>
    <row r="802" spans="1:5" x14ac:dyDescent="0.25">
      <c r="A802">
        <v>3200</v>
      </c>
      <c r="B802" s="1">
        <v>2.2222222222222223</v>
      </c>
      <c r="C802">
        <v>0</v>
      </c>
      <c r="D802">
        <v>0</v>
      </c>
      <c r="E802">
        <f t="shared" si="12"/>
        <v>0</v>
      </c>
    </row>
    <row r="803" spans="1:5" x14ac:dyDescent="0.25">
      <c r="A803">
        <v>3201</v>
      </c>
      <c r="B803" s="1">
        <v>2.2229166666666669</v>
      </c>
      <c r="C803">
        <v>0</v>
      </c>
      <c r="D803">
        <v>0</v>
      </c>
      <c r="E803">
        <f t="shared" si="12"/>
        <v>0</v>
      </c>
    </row>
    <row r="804" spans="1:5" x14ac:dyDescent="0.25">
      <c r="A804">
        <v>3202</v>
      </c>
      <c r="B804" s="1">
        <v>2.223611111111111</v>
      </c>
      <c r="C804">
        <v>0</v>
      </c>
      <c r="D804">
        <v>0</v>
      </c>
      <c r="E804">
        <f t="shared" si="12"/>
        <v>0</v>
      </c>
    </row>
    <row r="805" spans="1:5" x14ac:dyDescent="0.25">
      <c r="A805">
        <v>3203</v>
      </c>
      <c r="B805" s="1">
        <v>2.2243055555555555</v>
      </c>
      <c r="C805">
        <v>0</v>
      </c>
      <c r="D805">
        <v>0</v>
      </c>
      <c r="E805">
        <f t="shared" si="12"/>
        <v>0</v>
      </c>
    </row>
    <row r="806" spans="1:5" x14ac:dyDescent="0.25">
      <c r="A806">
        <v>3204</v>
      </c>
      <c r="B806" s="1">
        <v>2.2250000000000001</v>
      </c>
      <c r="C806">
        <v>0</v>
      </c>
      <c r="D806">
        <v>0</v>
      </c>
      <c r="E806">
        <f t="shared" si="12"/>
        <v>0</v>
      </c>
    </row>
    <row r="807" spans="1:5" x14ac:dyDescent="0.25">
      <c r="A807">
        <v>3205</v>
      </c>
      <c r="B807" s="1">
        <v>2.2256944444444446</v>
      </c>
      <c r="C807">
        <v>0</v>
      </c>
      <c r="D807">
        <v>0</v>
      </c>
      <c r="E807">
        <f t="shared" si="12"/>
        <v>0</v>
      </c>
    </row>
    <row r="808" spans="1:5" x14ac:dyDescent="0.25">
      <c r="A808">
        <v>3206</v>
      </c>
      <c r="B808" s="1">
        <v>2.2263888888888888</v>
      </c>
      <c r="C808">
        <v>0</v>
      </c>
      <c r="D808">
        <v>0</v>
      </c>
      <c r="E808">
        <f t="shared" si="12"/>
        <v>0</v>
      </c>
    </row>
    <row r="809" spans="1:5" x14ac:dyDescent="0.25">
      <c r="A809">
        <v>3207</v>
      </c>
      <c r="B809" s="1">
        <v>2.2270833333333333</v>
      </c>
      <c r="C809">
        <v>0</v>
      </c>
      <c r="D809">
        <v>0</v>
      </c>
      <c r="E809">
        <f t="shared" si="12"/>
        <v>0</v>
      </c>
    </row>
    <row r="810" spans="1:5" x14ac:dyDescent="0.25">
      <c r="A810">
        <v>3208</v>
      </c>
      <c r="B810" s="1">
        <v>2.2277777777777779</v>
      </c>
      <c r="C810">
        <v>0</v>
      </c>
      <c r="D810">
        <v>0</v>
      </c>
      <c r="E810">
        <f t="shared" si="12"/>
        <v>0</v>
      </c>
    </row>
    <row r="811" spans="1:5" x14ac:dyDescent="0.25">
      <c r="A811">
        <v>3209</v>
      </c>
      <c r="B811" s="1">
        <v>2.2284722222222224</v>
      </c>
      <c r="C811">
        <v>0</v>
      </c>
      <c r="D811">
        <v>0</v>
      </c>
      <c r="E811">
        <f t="shared" si="12"/>
        <v>0</v>
      </c>
    </row>
    <row r="812" spans="1:5" x14ac:dyDescent="0.25">
      <c r="A812">
        <v>3210</v>
      </c>
      <c r="B812" s="1">
        <v>2.2291666666666665</v>
      </c>
      <c r="C812">
        <v>0</v>
      </c>
      <c r="D812">
        <v>0</v>
      </c>
      <c r="E812">
        <f t="shared" si="12"/>
        <v>0</v>
      </c>
    </row>
    <row r="813" spans="1:5" x14ac:dyDescent="0.25">
      <c r="A813">
        <v>3211</v>
      </c>
      <c r="B813" s="1">
        <v>2.2298611111111111</v>
      </c>
      <c r="C813">
        <v>0</v>
      </c>
      <c r="D813">
        <v>0</v>
      </c>
      <c r="E813">
        <f t="shared" si="12"/>
        <v>0</v>
      </c>
    </row>
    <row r="814" spans="1:5" x14ac:dyDescent="0.25">
      <c r="A814">
        <v>3212</v>
      </c>
      <c r="B814" s="1">
        <v>2.2305555555555556</v>
      </c>
      <c r="C814">
        <v>0</v>
      </c>
      <c r="D814">
        <v>0</v>
      </c>
      <c r="E814">
        <f t="shared" si="12"/>
        <v>0</v>
      </c>
    </row>
    <row r="815" spans="1:5" x14ac:dyDescent="0.25">
      <c r="A815">
        <v>3213</v>
      </c>
      <c r="B815" s="1">
        <v>2.2312500000000002</v>
      </c>
      <c r="C815">
        <v>0</v>
      </c>
      <c r="D815">
        <v>0</v>
      </c>
      <c r="E815">
        <f t="shared" si="12"/>
        <v>0</v>
      </c>
    </row>
    <row r="816" spans="1:5" x14ac:dyDescent="0.25">
      <c r="A816">
        <v>3214</v>
      </c>
      <c r="B816" s="1">
        <v>2.2319444444444443</v>
      </c>
      <c r="C816">
        <v>0</v>
      </c>
      <c r="D816">
        <v>0</v>
      </c>
      <c r="E816">
        <f t="shared" si="12"/>
        <v>0</v>
      </c>
    </row>
    <row r="817" spans="1:5" x14ac:dyDescent="0.25">
      <c r="A817">
        <v>3215</v>
      </c>
      <c r="B817" s="1">
        <v>2.2326388888888888</v>
      </c>
      <c r="C817">
        <v>0</v>
      </c>
      <c r="D817">
        <v>0</v>
      </c>
      <c r="E817">
        <f t="shared" si="12"/>
        <v>0</v>
      </c>
    </row>
    <row r="818" spans="1:5" x14ac:dyDescent="0.25">
      <c r="A818">
        <v>3216</v>
      </c>
      <c r="B818" s="1">
        <v>2.2333333333333334</v>
      </c>
      <c r="C818">
        <v>0</v>
      </c>
      <c r="D818">
        <v>0</v>
      </c>
      <c r="E818">
        <f t="shared" si="12"/>
        <v>0</v>
      </c>
    </row>
    <row r="819" spans="1:5" x14ac:dyDescent="0.25">
      <c r="A819">
        <v>3217</v>
      </c>
      <c r="B819" s="1">
        <v>2.2340277777777779</v>
      </c>
      <c r="C819">
        <v>0</v>
      </c>
      <c r="D819">
        <v>0</v>
      </c>
      <c r="E819">
        <f t="shared" si="12"/>
        <v>0</v>
      </c>
    </row>
    <row r="820" spans="1:5" x14ac:dyDescent="0.25">
      <c r="A820">
        <v>3218</v>
      </c>
      <c r="B820" s="1">
        <v>2.2347222222222221</v>
      </c>
      <c r="C820">
        <v>0</v>
      </c>
      <c r="D820">
        <v>0</v>
      </c>
      <c r="E820">
        <f t="shared" si="12"/>
        <v>0</v>
      </c>
    </row>
    <row r="821" spans="1:5" x14ac:dyDescent="0.25">
      <c r="A821">
        <v>3219</v>
      </c>
      <c r="B821" s="1">
        <v>2.2354166666666666</v>
      </c>
      <c r="C821">
        <v>0</v>
      </c>
      <c r="D821">
        <v>0</v>
      </c>
      <c r="E821">
        <f t="shared" si="12"/>
        <v>0</v>
      </c>
    </row>
    <row r="822" spans="1:5" x14ac:dyDescent="0.25">
      <c r="A822">
        <v>3220</v>
      </c>
      <c r="B822" s="1">
        <v>2.2361111111111112</v>
      </c>
      <c r="C822">
        <v>0</v>
      </c>
      <c r="D822">
        <v>0</v>
      </c>
      <c r="E822">
        <f t="shared" si="12"/>
        <v>0</v>
      </c>
    </row>
    <row r="823" spans="1:5" x14ac:dyDescent="0.25">
      <c r="A823">
        <v>3221</v>
      </c>
      <c r="B823" s="1">
        <v>2.2368055555555557</v>
      </c>
      <c r="C823">
        <v>0</v>
      </c>
      <c r="D823">
        <v>0</v>
      </c>
      <c r="E823">
        <f t="shared" si="12"/>
        <v>0</v>
      </c>
    </row>
    <row r="824" spans="1:5" x14ac:dyDescent="0.25">
      <c r="A824">
        <v>3222</v>
      </c>
      <c r="B824" s="1">
        <v>2.2374999999999998</v>
      </c>
      <c r="C824">
        <v>0</v>
      </c>
      <c r="D824">
        <v>0</v>
      </c>
      <c r="E824">
        <f t="shared" si="12"/>
        <v>0</v>
      </c>
    </row>
    <row r="825" spans="1:5" x14ac:dyDescent="0.25">
      <c r="A825">
        <v>3223</v>
      </c>
      <c r="B825" s="1">
        <v>2.2381944444444444</v>
      </c>
      <c r="C825">
        <v>0</v>
      </c>
      <c r="D825">
        <v>0</v>
      </c>
      <c r="E825">
        <f t="shared" si="12"/>
        <v>0</v>
      </c>
    </row>
    <row r="826" spans="1:5" x14ac:dyDescent="0.25">
      <c r="A826">
        <v>3224</v>
      </c>
      <c r="B826" s="1">
        <v>2.2388888888888889</v>
      </c>
      <c r="C826">
        <v>0</v>
      </c>
      <c r="D826">
        <v>0</v>
      </c>
      <c r="E826">
        <f t="shared" si="12"/>
        <v>0</v>
      </c>
    </row>
    <row r="827" spans="1:5" x14ac:dyDescent="0.25">
      <c r="A827">
        <v>3225</v>
      </c>
      <c r="B827" s="1">
        <v>2.2395833333333335</v>
      </c>
      <c r="C827">
        <v>0</v>
      </c>
      <c r="D827">
        <v>0</v>
      </c>
      <c r="E827">
        <f t="shared" si="12"/>
        <v>0</v>
      </c>
    </row>
    <row r="828" spans="1:5" x14ac:dyDescent="0.25">
      <c r="A828">
        <v>3226</v>
      </c>
      <c r="B828" s="1">
        <v>2.2402777777777776</v>
      </c>
      <c r="C828">
        <v>0</v>
      </c>
      <c r="D828">
        <v>0</v>
      </c>
      <c r="E828">
        <f t="shared" si="12"/>
        <v>0</v>
      </c>
    </row>
    <row r="829" spans="1:5" x14ac:dyDescent="0.25">
      <c r="A829">
        <v>3227</v>
      </c>
      <c r="B829" s="1">
        <v>2.2409722222222221</v>
      </c>
      <c r="C829">
        <v>0</v>
      </c>
      <c r="D829">
        <v>0</v>
      </c>
      <c r="E829">
        <f t="shared" si="12"/>
        <v>0</v>
      </c>
    </row>
    <row r="830" spans="1:5" x14ac:dyDescent="0.25">
      <c r="A830">
        <v>3228</v>
      </c>
      <c r="B830" s="1">
        <v>2.2416666666666667</v>
      </c>
      <c r="C830">
        <v>0</v>
      </c>
      <c r="D830">
        <v>0</v>
      </c>
      <c r="E830">
        <f t="shared" si="12"/>
        <v>0</v>
      </c>
    </row>
    <row r="831" spans="1:5" x14ac:dyDescent="0.25">
      <c r="A831">
        <v>3229</v>
      </c>
      <c r="B831" s="1">
        <v>2.2423611111111112</v>
      </c>
      <c r="C831">
        <v>0</v>
      </c>
      <c r="D831">
        <v>0</v>
      </c>
      <c r="E831">
        <f t="shared" si="12"/>
        <v>0</v>
      </c>
    </row>
    <row r="832" spans="1:5" x14ac:dyDescent="0.25">
      <c r="A832">
        <v>3230</v>
      </c>
      <c r="B832" s="1">
        <v>2.2430555555555554</v>
      </c>
      <c r="C832">
        <v>0</v>
      </c>
      <c r="D832">
        <v>0</v>
      </c>
      <c r="E832">
        <f t="shared" si="12"/>
        <v>0</v>
      </c>
    </row>
    <row r="833" spans="1:5" x14ac:dyDescent="0.25">
      <c r="A833">
        <v>3231</v>
      </c>
      <c r="B833" s="1">
        <v>2.2437499999999999</v>
      </c>
      <c r="C833">
        <v>0</v>
      </c>
      <c r="D833">
        <v>0</v>
      </c>
      <c r="E833">
        <f t="shared" si="12"/>
        <v>0</v>
      </c>
    </row>
    <row r="834" spans="1:5" x14ac:dyDescent="0.25">
      <c r="A834">
        <v>3232</v>
      </c>
      <c r="B834" s="1">
        <v>2.2444444444444445</v>
      </c>
      <c r="C834">
        <v>0</v>
      </c>
      <c r="D834">
        <v>0</v>
      </c>
      <c r="E834">
        <f t="shared" si="12"/>
        <v>0</v>
      </c>
    </row>
    <row r="835" spans="1:5" x14ac:dyDescent="0.25">
      <c r="A835">
        <v>3233</v>
      </c>
      <c r="B835" s="1">
        <v>2.245138888888889</v>
      </c>
      <c r="C835">
        <v>0</v>
      </c>
      <c r="D835">
        <v>0</v>
      </c>
      <c r="E835">
        <f t="shared" ref="E835:E898" si="13">D835*$H$3</f>
        <v>0</v>
      </c>
    </row>
    <row r="836" spans="1:5" x14ac:dyDescent="0.25">
      <c r="A836">
        <v>3234</v>
      </c>
      <c r="B836" s="1">
        <v>2.2458333333333331</v>
      </c>
      <c r="C836">
        <v>0</v>
      </c>
      <c r="D836">
        <v>0</v>
      </c>
      <c r="E836">
        <f t="shared" si="13"/>
        <v>0</v>
      </c>
    </row>
    <row r="837" spans="1:5" x14ac:dyDescent="0.25">
      <c r="A837">
        <v>3235</v>
      </c>
      <c r="B837" s="1">
        <v>2.2465277777777777</v>
      </c>
      <c r="C837">
        <v>0</v>
      </c>
      <c r="D837">
        <v>0</v>
      </c>
      <c r="E837">
        <f t="shared" si="13"/>
        <v>0</v>
      </c>
    </row>
    <row r="838" spans="1:5" x14ac:dyDescent="0.25">
      <c r="A838">
        <v>3236</v>
      </c>
      <c r="B838" s="1">
        <v>2.2472222222222222</v>
      </c>
      <c r="C838">
        <v>0</v>
      </c>
      <c r="D838">
        <v>0</v>
      </c>
      <c r="E838">
        <f t="shared" si="13"/>
        <v>0</v>
      </c>
    </row>
    <row r="839" spans="1:5" x14ac:dyDescent="0.25">
      <c r="A839">
        <v>3237</v>
      </c>
      <c r="B839" s="1">
        <v>2.2479166666666668</v>
      </c>
      <c r="C839">
        <v>0</v>
      </c>
      <c r="D839">
        <v>0</v>
      </c>
      <c r="E839">
        <f t="shared" si="13"/>
        <v>0</v>
      </c>
    </row>
    <row r="840" spans="1:5" x14ac:dyDescent="0.25">
      <c r="A840">
        <v>3238</v>
      </c>
      <c r="B840" s="1">
        <v>2.2486111111111109</v>
      </c>
      <c r="C840">
        <v>0</v>
      </c>
      <c r="D840">
        <v>0</v>
      </c>
      <c r="E840">
        <f t="shared" si="13"/>
        <v>0</v>
      </c>
    </row>
    <row r="841" spans="1:5" x14ac:dyDescent="0.25">
      <c r="A841">
        <v>3239</v>
      </c>
      <c r="B841" s="1">
        <v>2.2493055555555554</v>
      </c>
      <c r="C841">
        <v>0</v>
      </c>
      <c r="D841">
        <v>0</v>
      </c>
      <c r="E841">
        <f t="shared" si="13"/>
        <v>0</v>
      </c>
    </row>
    <row r="842" spans="1:5" x14ac:dyDescent="0.25">
      <c r="A842">
        <v>3240</v>
      </c>
      <c r="B842" s="1">
        <v>2.25</v>
      </c>
      <c r="C842">
        <v>0</v>
      </c>
      <c r="D842">
        <v>0</v>
      </c>
      <c r="E842">
        <f t="shared" si="13"/>
        <v>0</v>
      </c>
    </row>
    <row r="843" spans="1:5" x14ac:dyDescent="0.25">
      <c r="A843">
        <v>3241</v>
      </c>
      <c r="B843" s="1">
        <v>2.2506944444444446</v>
      </c>
      <c r="C843">
        <v>0</v>
      </c>
      <c r="D843">
        <v>0</v>
      </c>
      <c r="E843">
        <f t="shared" si="13"/>
        <v>0</v>
      </c>
    </row>
    <row r="844" spans="1:5" x14ac:dyDescent="0.25">
      <c r="A844">
        <v>3242</v>
      </c>
      <c r="B844" s="1">
        <v>2.2513888888888891</v>
      </c>
      <c r="C844">
        <v>0</v>
      </c>
      <c r="D844">
        <v>0</v>
      </c>
      <c r="E844">
        <f t="shared" si="13"/>
        <v>0</v>
      </c>
    </row>
    <row r="845" spans="1:5" x14ac:dyDescent="0.25">
      <c r="A845">
        <v>3243</v>
      </c>
      <c r="B845" s="1">
        <v>2.2520833333333332</v>
      </c>
      <c r="C845">
        <v>0</v>
      </c>
      <c r="D845">
        <v>0</v>
      </c>
      <c r="E845">
        <f t="shared" si="13"/>
        <v>0</v>
      </c>
    </row>
    <row r="846" spans="1:5" x14ac:dyDescent="0.25">
      <c r="A846">
        <v>3244</v>
      </c>
      <c r="B846" s="1">
        <v>2.2527777777777778</v>
      </c>
      <c r="C846">
        <v>0</v>
      </c>
      <c r="D846">
        <v>0</v>
      </c>
      <c r="E846">
        <f t="shared" si="13"/>
        <v>0</v>
      </c>
    </row>
    <row r="847" spans="1:5" x14ac:dyDescent="0.25">
      <c r="A847">
        <v>3245</v>
      </c>
      <c r="B847" s="1">
        <v>2.2534722222222223</v>
      </c>
      <c r="C847">
        <v>0</v>
      </c>
      <c r="D847">
        <v>0</v>
      </c>
      <c r="E847">
        <f t="shared" si="13"/>
        <v>0</v>
      </c>
    </row>
    <row r="848" spans="1:5" x14ac:dyDescent="0.25">
      <c r="A848">
        <v>3246</v>
      </c>
      <c r="B848" s="1">
        <v>2.2541666666666669</v>
      </c>
      <c r="C848">
        <v>0</v>
      </c>
      <c r="D848">
        <v>0</v>
      </c>
      <c r="E848">
        <f t="shared" si="13"/>
        <v>0</v>
      </c>
    </row>
    <row r="849" spans="1:5" x14ac:dyDescent="0.25">
      <c r="A849">
        <v>3247</v>
      </c>
      <c r="B849" s="1">
        <v>2.254861111111111</v>
      </c>
      <c r="C849">
        <v>0</v>
      </c>
      <c r="D849">
        <v>0</v>
      </c>
      <c r="E849">
        <f t="shared" si="13"/>
        <v>0</v>
      </c>
    </row>
    <row r="850" spans="1:5" x14ac:dyDescent="0.25">
      <c r="A850">
        <v>3248</v>
      </c>
      <c r="B850" s="1">
        <v>2.2555555555555555</v>
      </c>
      <c r="C850">
        <v>0</v>
      </c>
      <c r="D850">
        <v>0</v>
      </c>
      <c r="E850">
        <f t="shared" si="13"/>
        <v>0</v>
      </c>
    </row>
    <row r="851" spans="1:5" x14ac:dyDescent="0.25">
      <c r="A851">
        <v>3249</v>
      </c>
      <c r="B851" s="1">
        <v>2.2562500000000001</v>
      </c>
      <c r="C851">
        <v>0</v>
      </c>
      <c r="D851">
        <v>0</v>
      </c>
      <c r="E851">
        <f t="shared" si="13"/>
        <v>0</v>
      </c>
    </row>
    <row r="852" spans="1:5" x14ac:dyDescent="0.25">
      <c r="A852">
        <v>3250</v>
      </c>
      <c r="B852" s="1">
        <v>2.2569444444444446</v>
      </c>
      <c r="C852">
        <v>0</v>
      </c>
      <c r="D852">
        <v>0</v>
      </c>
      <c r="E852">
        <f t="shared" si="13"/>
        <v>0</v>
      </c>
    </row>
    <row r="853" spans="1:5" x14ac:dyDescent="0.25">
      <c r="A853">
        <v>3251</v>
      </c>
      <c r="B853" s="1">
        <v>2.2576388888888888</v>
      </c>
      <c r="C853">
        <v>0</v>
      </c>
      <c r="D853">
        <v>0</v>
      </c>
      <c r="E853">
        <f t="shared" si="13"/>
        <v>0</v>
      </c>
    </row>
    <row r="854" spans="1:5" x14ac:dyDescent="0.25">
      <c r="A854">
        <v>3252</v>
      </c>
      <c r="B854" s="1">
        <v>2.2583333333333333</v>
      </c>
      <c r="C854">
        <v>0</v>
      </c>
      <c r="D854">
        <v>0</v>
      </c>
      <c r="E854">
        <f t="shared" si="13"/>
        <v>0</v>
      </c>
    </row>
    <row r="855" spans="1:5" x14ac:dyDescent="0.25">
      <c r="A855">
        <v>3253</v>
      </c>
      <c r="B855" s="1">
        <v>2.2590277777777779</v>
      </c>
      <c r="C855">
        <v>0</v>
      </c>
      <c r="D855">
        <v>0</v>
      </c>
      <c r="E855">
        <f t="shared" si="13"/>
        <v>0</v>
      </c>
    </row>
    <row r="856" spans="1:5" x14ac:dyDescent="0.25">
      <c r="A856">
        <v>3254</v>
      </c>
      <c r="B856" s="1">
        <v>2.2597222222222224</v>
      </c>
      <c r="C856">
        <v>0</v>
      </c>
      <c r="D856">
        <v>0</v>
      </c>
      <c r="E856">
        <f t="shared" si="13"/>
        <v>0</v>
      </c>
    </row>
    <row r="857" spans="1:5" x14ac:dyDescent="0.25">
      <c r="A857">
        <v>3255</v>
      </c>
      <c r="B857" s="1">
        <v>2.2604166666666665</v>
      </c>
      <c r="C857">
        <v>0</v>
      </c>
      <c r="D857">
        <v>0</v>
      </c>
      <c r="E857">
        <f t="shared" si="13"/>
        <v>0</v>
      </c>
    </row>
    <row r="858" spans="1:5" x14ac:dyDescent="0.25">
      <c r="A858">
        <v>3256</v>
      </c>
      <c r="B858" s="1">
        <v>2.2611111111111111</v>
      </c>
      <c r="C858">
        <v>0</v>
      </c>
      <c r="D858">
        <v>0</v>
      </c>
      <c r="E858">
        <f t="shared" si="13"/>
        <v>0</v>
      </c>
    </row>
    <row r="859" spans="1:5" x14ac:dyDescent="0.25">
      <c r="A859">
        <v>3257</v>
      </c>
      <c r="B859" s="1">
        <v>2.2618055555555556</v>
      </c>
      <c r="C859">
        <v>0</v>
      </c>
      <c r="D859">
        <v>0</v>
      </c>
      <c r="E859">
        <f t="shared" si="13"/>
        <v>0</v>
      </c>
    </row>
    <row r="860" spans="1:5" x14ac:dyDescent="0.25">
      <c r="A860">
        <v>3258</v>
      </c>
      <c r="B860" s="1">
        <v>2.2625000000000002</v>
      </c>
      <c r="C860">
        <v>0</v>
      </c>
      <c r="D860">
        <v>0</v>
      </c>
      <c r="E860">
        <f t="shared" si="13"/>
        <v>0</v>
      </c>
    </row>
    <row r="861" spans="1:5" x14ac:dyDescent="0.25">
      <c r="A861">
        <v>3259</v>
      </c>
      <c r="B861" s="1">
        <v>2.2631944444444443</v>
      </c>
      <c r="C861">
        <v>0</v>
      </c>
      <c r="D861">
        <v>0</v>
      </c>
      <c r="E861">
        <f t="shared" si="13"/>
        <v>0</v>
      </c>
    </row>
    <row r="862" spans="1:5" x14ac:dyDescent="0.25">
      <c r="A862">
        <v>3260</v>
      </c>
      <c r="B862" s="1">
        <v>2.2638888888888888</v>
      </c>
      <c r="C862">
        <v>0</v>
      </c>
      <c r="D862">
        <v>0</v>
      </c>
      <c r="E862">
        <f t="shared" si="13"/>
        <v>0</v>
      </c>
    </row>
    <row r="863" spans="1:5" x14ac:dyDescent="0.25">
      <c r="A863">
        <v>3261</v>
      </c>
      <c r="B863" s="1">
        <v>2.2645833333333334</v>
      </c>
      <c r="C863">
        <v>0</v>
      </c>
      <c r="D863">
        <v>0</v>
      </c>
      <c r="E863">
        <f t="shared" si="13"/>
        <v>0</v>
      </c>
    </row>
    <row r="864" spans="1:5" x14ac:dyDescent="0.25">
      <c r="A864">
        <v>3262</v>
      </c>
      <c r="B864" s="1">
        <v>2.2652777777777779</v>
      </c>
      <c r="C864">
        <v>0</v>
      </c>
      <c r="D864">
        <v>0</v>
      </c>
      <c r="E864">
        <f t="shared" si="13"/>
        <v>0</v>
      </c>
    </row>
    <row r="865" spans="1:5" x14ac:dyDescent="0.25">
      <c r="A865">
        <v>3263</v>
      </c>
      <c r="B865" s="1">
        <v>2.2659722222222221</v>
      </c>
      <c r="C865">
        <v>0</v>
      </c>
      <c r="D865">
        <v>0</v>
      </c>
      <c r="E865">
        <f t="shared" si="13"/>
        <v>0</v>
      </c>
    </row>
    <row r="866" spans="1:5" x14ac:dyDescent="0.25">
      <c r="A866">
        <v>3264</v>
      </c>
      <c r="B866" s="1">
        <v>2.2666666666666666</v>
      </c>
      <c r="C866">
        <v>0</v>
      </c>
      <c r="D866">
        <v>0</v>
      </c>
      <c r="E866">
        <f t="shared" si="13"/>
        <v>0</v>
      </c>
    </row>
    <row r="867" spans="1:5" x14ac:dyDescent="0.25">
      <c r="A867">
        <v>3265</v>
      </c>
      <c r="B867" s="1">
        <v>2.2673611111111112</v>
      </c>
      <c r="C867">
        <v>0</v>
      </c>
      <c r="D867">
        <v>0</v>
      </c>
      <c r="E867">
        <f t="shared" si="13"/>
        <v>0</v>
      </c>
    </row>
    <row r="868" spans="1:5" x14ac:dyDescent="0.25">
      <c r="A868">
        <v>3266</v>
      </c>
      <c r="B868" s="1">
        <v>2.2680555555555557</v>
      </c>
      <c r="C868">
        <v>0</v>
      </c>
      <c r="D868">
        <v>0</v>
      </c>
      <c r="E868">
        <f t="shared" si="13"/>
        <v>0</v>
      </c>
    </row>
    <row r="869" spans="1:5" x14ac:dyDescent="0.25">
      <c r="A869">
        <v>3267</v>
      </c>
      <c r="B869" s="1">
        <v>2.2687499999999998</v>
      </c>
      <c r="C869">
        <v>0</v>
      </c>
      <c r="D869">
        <v>0</v>
      </c>
      <c r="E869">
        <f t="shared" si="13"/>
        <v>0</v>
      </c>
    </row>
    <row r="870" spans="1:5" x14ac:dyDescent="0.25">
      <c r="A870">
        <v>3268</v>
      </c>
      <c r="B870" s="1">
        <v>2.2694444444444444</v>
      </c>
      <c r="C870">
        <v>0</v>
      </c>
      <c r="D870">
        <v>0</v>
      </c>
      <c r="E870">
        <f t="shared" si="13"/>
        <v>0</v>
      </c>
    </row>
    <row r="871" spans="1:5" x14ac:dyDescent="0.25">
      <c r="A871">
        <v>3269</v>
      </c>
      <c r="B871" s="1">
        <v>2.2701388888888889</v>
      </c>
      <c r="C871">
        <v>0</v>
      </c>
      <c r="D871">
        <v>0</v>
      </c>
      <c r="E871">
        <f t="shared" si="13"/>
        <v>0</v>
      </c>
    </row>
    <row r="872" spans="1:5" x14ac:dyDescent="0.25">
      <c r="A872">
        <v>3270</v>
      </c>
      <c r="B872" s="1">
        <v>2.2708333333333335</v>
      </c>
      <c r="C872">
        <v>0</v>
      </c>
      <c r="D872">
        <v>0</v>
      </c>
      <c r="E872">
        <f t="shared" si="13"/>
        <v>0</v>
      </c>
    </row>
    <row r="873" spans="1:5" x14ac:dyDescent="0.25">
      <c r="A873">
        <v>3271</v>
      </c>
      <c r="B873" s="1">
        <v>2.2715277777777776</v>
      </c>
      <c r="C873">
        <v>0</v>
      </c>
      <c r="D873">
        <v>0</v>
      </c>
      <c r="E873">
        <f t="shared" si="13"/>
        <v>0</v>
      </c>
    </row>
    <row r="874" spans="1:5" x14ac:dyDescent="0.25">
      <c r="A874">
        <v>3272</v>
      </c>
      <c r="B874" s="1">
        <v>2.2722222222222221</v>
      </c>
      <c r="C874">
        <v>0</v>
      </c>
      <c r="D874">
        <v>0</v>
      </c>
      <c r="E874">
        <f t="shared" si="13"/>
        <v>0</v>
      </c>
    </row>
    <row r="875" spans="1:5" x14ac:dyDescent="0.25">
      <c r="A875">
        <v>3273</v>
      </c>
      <c r="B875" s="1">
        <v>2.2729166666666667</v>
      </c>
      <c r="C875">
        <v>0</v>
      </c>
      <c r="D875">
        <v>0</v>
      </c>
      <c r="E875">
        <f t="shared" si="13"/>
        <v>0</v>
      </c>
    </row>
    <row r="876" spans="1:5" x14ac:dyDescent="0.25">
      <c r="A876">
        <v>3274</v>
      </c>
      <c r="B876" s="1">
        <v>2.2736111111111112</v>
      </c>
      <c r="C876">
        <v>0</v>
      </c>
      <c r="D876">
        <v>0</v>
      </c>
      <c r="E876">
        <f t="shared" si="13"/>
        <v>0</v>
      </c>
    </row>
    <row r="877" spans="1:5" x14ac:dyDescent="0.25">
      <c r="A877">
        <v>3275</v>
      </c>
      <c r="B877" s="1">
        <v>2.2743055555555554</v>
      </c>
      <c r="C877">
        <v>0</v>
      </c>
      <c r="D877">
        <v>0</v>
      </c>
      <c r="E877">
        <f t="shared" si="13"/>
        <v>0</v>
      </c>
    </row>
    <row r="878" spans="1:5" x14ac:dyDescent="0.25">
      <c r="A878">
        <v>3276</v>
      </c>
      <c r="B878" s="1">
        <v>2.2749999999999999</v>
      </c>
      <c r="C878">
        <v>0</v>
      </c>
      <c r="D878">
        <v>0</v>
      </c>
      <c r="E878">
        <f t="shared" si="13"/>
        <v>0</v>
      </c>
    </row>
    <row r="879" spans="1:5" x14ac:dyDescent="0.25">
      <c r="A879">
        <v>3277</v>
      </c>
      <c r="B879" s="1">
        <v>2.2756944444444445</v>
      </c>
      <c r="C879">
        <v>0</v>
      </c>
      <c r="D879">
        <v>0</v>
      </c>
      <c r="E879">
        <f t="shared" si="13"/>
        <v>0</v>
      </c>
    </row>
    <row r="880" spans="1:5" x14ac:dyDescent="0.25">
      <c r="A880">
        <v>3278</v>
      </c>
      <c r="B880" s="1">
        <v>2.276388888888889</v>
      </c>
      <c r="C880">
        <v>0</v>
      </c>
      <c r="D880">
        <v>0</v>
      </c>
      <c r="E880">
        <f t="shared" si="13"/>
        <v>0</v>
      </c>
    </row>
    <row r="881" spans="1:5" x14ac:dyDescent="0.25">
      <c r="A881">
        <v>3279</v>
      </c>
      <c r="B881" s="1">
        <v>2.2770833333333331</v>
      </c>
      <c r="C881">
        <v>0</v>
      </c>
      <c r="D881">
        <v>0</v>
      </c>
      <c r="E881">
        <f t="shared" si="13"/>
        <v>0</v>
      </c>
    </row>
    <row r="882" spans="1:5" x14ac:dyDescent="0.25">
      <c r="A882">
        <v>3280</v>
      </c>
      <c r="B882" s="1">
        <v>2.2777777777777777</v>
      </c>
      <c r="C882">
        <v>0</v>
      </c>
      <c r="D882">
        <v>0</v>
      </c>
      <c r="E882">
        <f t="shared" si="13"/>
        <v>0</v>
      </c>
    </row>
    <row r="883" spans="1:5" x14ac:dyDescent="0.25">
      <c r="A883">
        <v>3281</v>
      </c>
      <c r="B883" s="1">
        <v>2.2784722222222222</v>
      </c>
      <c r="C883">
        <v>0</v>
      </c>
      <c r="D883">
        <v>0</v>
      </c>
      <c r="E883">
        <f t="shared" si="13"/>
        <v>0</v>
      </c>
    </row>
    <row r="884" spans="1:5" x14ac:dyDescent="0.25">
      <c r="A884">
        <v>3282</v>
      </c>
      <c r="B884" s="1">
        <v>2.2791666666666668</v>
      </c>
      <c r="C884">
        <v>0</v>
      </c>
      <c r="D884">
        <v>0</v>
      </c>
      <c r="E884">
        <f t="shared" si="13"/>
        <v>0</v>
      </c>
    </row>
    <row r="885" spans="1:5" x14ac:dyDescent="0.25">
      <c r="A885">
        <v>3283</v>
      </c>
      <c r="B885" s="1">
        <v>2.2798611111111109</v>
      </c>
      <c r="C885">
        <v>0</v>
      </c>
      <c r="D885">
        <v>0</v>
      </c>
      <c r="E885">
        <f t="shared" si="13"/>
        <v>0</v>
      </c>
    </row>
    <row r="886" spans="1:5" x14ac:dyDescent="0.25">
      <c r="A886">
        <v>3284</v>
      </c>
      <c r="B886" s="1">
        <v>2.2805555555555554</v>
      </c>
      <c r="C886">
        <v>0</v>
      </c>
      <c r="D886">
        <v>0</v>
      </c>
      <c r="E886">
        <f t="shared" si="13"/>
        <v>0</v>
      </c>
    </row>
    <row r="887" spans="1:5" x14ac:dyDescent="0.25">
      <c r="A887">
        <v>3285</v>
      </c>
      <c r="B887" s="1">
        <v>2.28125</v>
      </c>
      <c r="C887">
        <v>0</v>
      </c>
      <c r="D887">
        <v>0</v>
      </c>
      <c r="E887">
        <f t="shared" si="13"/>
        <v>0</v>
      </c>
    </row>
    <row r="888" spans="1:5" x14ac:dyDescent="0.25">
      <c r="A888">
        <v>3286</v>
      </c>
      <c r="B888" s="1">
        <v>2.2819444444444446</v>
      </c>
      <c r="C888">
        <v>0</v>
      </c>
      <c r="D888">
        <v>0</v>
      </c>
      <c r="E888">
        <f t="shared" si="13"/>
        <v>0</v>
      </c>
    </row>
    <row r="889" spans="1:5" x14ac:dyDescent="0.25">
      <c r="A889">
        <v>3287</v>
      </c>
      <c r="B889" s="1">
        <v>2.2826388888888891</v>
      </c>
      <c r="C889">
        <v>0</v>
      </c>
      <c r="D889">
        <v>0</v>
      </c>
      <c r="E889">
        <f t="shared" si="13"/>
        <v>0</v>
      </c>
    </row>
    <row r="890" spans="1:5" x14ac:dyDescent="0.25">
      <c r="A890">
        <v>3288</v>
      </c>
      <c r="B890" s="1">
        <v>2.2833333333333332</v>
      </c>
      <c r="C890">
        <v>0</v>
      </c>
      <c r="D890">
        <v>0</v>
      </c>
      <c r="E890">
        <f t="shared" si="13"/>
        <v>0</v>
      </c>
    </row>
    <row r="891" spans="1:5" x14ac:dyDescent="0.25">
      <c r="A891">
        <v>3289</v>
      </c>
      <c r="B891" s="1">
        <v>2.2840277777777778</v>
      </c>
      <c r="C891">
        <v>0</v>
      </c>
      <c r="D891">
        <v>0</v>
      </c>
      <c r="E891">
        <f t="shared" si="13"/>
        <v>0</v>
      </c>
    </row>
    <row r="892" spans="1:5" x14ac:dyDescent="0.25">
      <c r="A892">
        <v>3290</v>
      </c>
      <c r="B892" s="1">
        <v>2.2847222222222223</v>
      </c>
      <c r="C892">
        <v>0</v>
      </c>
      <c r="D892">
        <v>0</v>
      </c>
      <c r="E892">
        <f t="shared" si="13"/>
        <v>0</v>
      </c>
    </row>
    <row r="893" spans="1:5" x14ac:dyDescent="0.25">
      <c r="A893">
        <v>3291</v>
      </c>
      <c r="B893" s="1">
        <v>2.2854166666666669</v>
      </c>
      <c r="C893">
        <v>0</v>
      </c>
      <c r="D893">
        <v>0</v>
      </c>
      <c r="E893">
        <f t="shared" si="13"/>
        <v>0</v>
      </c>
    </row>
    <row r="894" spans="1:5" x14ac:dyDescent="0.25">
      <c r="A894">
        <v>3292</v>
      </c>
      <c r="B894" s="1">
        <v>2.286111111111111</v>
      </c>
      <c r="C894">
        <v>0</v>
      </c>
      <c r="D894">
        <v>0</v>
      </c>
      <c r="E894">
        <f t="shared" si="13"/>
        <v>0</v>
      </c>
    </row>
    <row r="895" spans="1:5" x14ac:dyDescent="0.25">
      <c r="A895">
        <v>3293</v>
      </c>
      <c r="B895" s="1">
        <v>2.2868055555555555</v>
      </c>
      <c r="C895">
        <v>0</v>
      </c>
      <c r="D895">
        <v>0</v>
      </c>
      <c r="E895">
        <f t="shared" si="13"/>
        <v>0</v>
      </c>
    </row>
    <row r="896" spans="1:5" x14ac:dyDescent="0.25">
      <c r="A896">
        <v>3294</v>
      </c>
      <c r="B896" s="1">
        <v>2.2875000000000001</v>
      </c>
      <c r="C896">
        <v>0</v>
      </c>
      <c r="D896">
        <v>0</v>
      </c>
      <c r="E896">
        <f t="shared" si="13"/>
        <v>0</v>
      </c>
    </row>
    <row r="897" spans="1:5" x14ac:dyDescent="0.25">
      <c r="A897">
        <v>3295</v>
      </c>
      <c r="B897" s="1">
        <v>2.2881944444444446</v>
      </c>
      <c r="C897">
        <v>0</v>
      </c>
      <c r="D897">
        <v>0</v>
      </c>
      <c r="E897">
        <f t="shared" si="13"/>
        <v>0</v>
      </c>
    </row>
    <row r="898" spans="1:5" x14ac:dyDescent="0.25">
      <c r="A898">
        <v>3296</v>
      </c>
      <c r="B898" s="1">
        <v>2.2888888888888888</v>
      </c>
      <c r="C898">
        <v>0</v>
      </c>
      <c r="D898">
        <v>0</v>
      </c>
      <c r="E898">
        <f t="shared" si="13"/>
        <v>0</v>
      </c>
    </row>
    <row r="899" spans="1:5" x14ac:dyDescent="0.25">
      <c r="A899">
        <v>3297</v>
      </c>
      <c r="B899" s="1">
        <v>2.2895833333333333</v>
      </c>
      <c r="C899">
        <v>0</v>
      </c>
      <c r="D899">
        <v>0</v>
      </c>
      <c r="E899">
        <f t="shared" ref="E899:E962" si="14">D899*$H$3</f>
        <v>0</v>
      </c>
    </row>
    <row r="900" spans="1:5" x14ac:dyDescent="0.25">
      <c r="A900">
        <v>3298</v>
      </c>
      <c r="B900" s="1">
        <v>2.2902777777777779</v>
      </c>
      <c r="C900">
        <v>0</v>
      </c>
      <c r="D900">
        <v>0</v>
      </c>
      <c r="E900">
        <f t="shared" si="14"/>
        <v>0</v>
      </c>
    </row>
    <row r="901" spans="1:5" x14ac:dyDescent="0.25">
      <c r="A901">
        <v>3299</v>
      </c>
      <c r="B901" s="1">
        <v>2.2909722222222224</v>
      </c>
      <c r="C901">
        <v>0</v>
      </c>
      <c r="D901">
        <v>0</v>
      </c>
      <c r="E901">
        <f t="shared" si="14"/>
        <v>0</v>
      </c>
    </row>
    <row r="902" spans="1:5" x14ac:dyDescent="0.25">
      <c r="A902">
        <v>3300</v>
      </c>
      <c r="B902" s="1">
        <v>2.2916666666666665</v>
      </c>
      <c r="C902">
        <v>0</v>
      </c>
      <c r="D902">
        <v>0</v>
      </c>
      <c r="E902">
        <f t="shared" si="14"/>
        <v>0</v>
      </c>
    </row>
    <row r="903" spans="1:5" x14ac:dyDescent="0.25">
      <c r="A903">
        <v>3301</v>
      </c>
      <c r="B903" s="1">
        <v>2.2923611111111111</v>
      </c>
      <c r="C903">
        <v>0</v>
      </c>
      <c r="D903">
        <v>0</v>
      </c>
      <c r="E903">
        <f t="shared" si="14"/>
        <v>0</v>
      </c>
    </row>
    <row r="904" spans="1:5" x14ac:dyDescent="0.25">
      <c r="A904">
        <v>3302</v>
      </c>
      <c r="B904" s="1">
        <v>2.2930555555555556</v>
      </c>
      <c r="C904">
        <v>0</v>
      </c>
      <c r="D904">
        <v>0</v>
      </c>
      <c r="E904">
        <f t="shared" si="14"/>
        <v>0</v>
      </c>
    </row>
    <row r="905" spans="1:5" x14ac:dyDescent="0.25">
      <c r="A905">
        <v>3303</v>
      </c>
      <c r="B905" s="1">
        <v>2.2937500000000002</v>
      </c>
      <c r="C905">
        <v>0</v>
      </c>
      <c r="D905">
        <v>0</v>
      </c>
      <c r="E905">
        <f t="shared" si="14"/>
        <v>0</v>
      </c>
    </row>
    <row r="906" spans="1:5" x14ac:dyDescent="0.25">
      <c r="A906">
        <v>3304</v>
      </c>
      <c r="B906" s="1">
        <v>2.2944444444444443</v>
      </c>
      <c r="C906">
        <v>0</v>
      </c>
      <c r="D906">
        <v>0</v>
      </c>
      <c r="E906">
        <f t="shared" si="14"/>
        <v>0</v>
      </c>
    </row>
    <row r="907" spans="1:5" x14ac:dyDescent="0.25">
      <c r="A907">
        <v>3305</v>
      </c>
      <c r="B907" s="1">
        <v>2.2951388888888888</v>
      </c>
      <c r="C907">
        <v>0</v>
      </c>
      <c r="D907">
        <v>0</v>
      </c>
      <c r="E907">
        <f t="shared" si="14"/>
        <v>0</v>
      </c>
    </row>
    <row r="908" spans="1:5" x14ac:dyDescent="0.25">
      <c r="A908">
        <v>3306</v>
      </c>
      <c r="B908" s="1">
        <v>2.2958333333333334</v>
      </c>
      <c r="C908">
        <v>0</v>
      </c>
      <c r="D908">
        <v>0</v>
      </c>
      <c r="E908">
        <f t="shared" si="14"/>
        <v>0</v>
      </c>
    </row>
    <row r="909" spans="1:5" x14ac:dyDescent="0.25">
      <c r="A909">
        <v>3307</v>
      </c>
      <c r="B909" s="1">
        <v>2.2965277777777779</v>
      </c>
      <c r="C909">
        <v>0</v>
      </c>
      <c r="D909">
        <v>0</v>
      </c>
      <c r="E909">
        <f t="shared" si="14"/>
        <v>0</v>
      </c>
    </row>
    <row r="910" spans="1:5" x14ac:dyDescent="0.25">
      <c r="A910">
        <v>3308</v>
      </c>
      <c r="B910" s="1">
        <v>2.2972222222222221</v>
      </c>
      <c r="C910">
        <v>0</v>
      </c>
      <c r="D910">
        <v>0</v>
      </c>
      <c r="E910">
        <f t="shared" si="14"/>
        <v>0</v>
      </c>
    </row>
    <row r="911" spans="1:5" x14ac:dyDescent="0.25">
      <c r="A911">
        <v>3309</v>
      </c>
      <c r="B911" s="1">
        <v>2.2979166666666666</v>
      </c>
      <c r="C911">
        <v>0</v>
      </c>
      <c r="D911">
        <v>0</v>
      </c>
      <c r="E911">
        <f t="shared" si="14"/>
        <v>0</v>
      </c>
    </row>
    <row r="912" spans="1:5" x14ac:dyDescent="0.25">
      <c r="A912">
        <v>3310</v>
      </c>
      <c r="B912" s="1">
        <v>2.2986111111111112</v>
      </c>
      <c r="C912">
        <v>0</v>
      </c>
      <c r="D912">
        <v>0</v>
      </c>
      <c r="E912">
        <f t="shared" si="14"/>
        <v>0</v>
      </c>
    </row>
    <row r="913" spans="1:5" x14ac:dyDescent="0.25">
      <c r="A913">
        <v>3311</v>
      </c>
      <c r="B913" s="1">
        <v>2.2993055555555557</v>
      </c>
      <c r="C913">
        <v>0</v>
      </c>
      <c r="D913">
        <v>0</v>
      </c>
      <c r="E913">
        <f t="shared" si="14"/>
        <v>0</v>
      </c>
    </row>
    <row r="914" spans="1:5" x14ac:dyDescent="0.25">
      <c r="A914">
        <v>3312</v>
      </c>
      <c r="B914" s="1">
        <v>2.2999999999999998</v>
      </c>
      <c r="C914">
        <v>0</v>
      </c>
      <c r="D914">
        <v>0</v>
      </c>
      <c r="E914">
        <f t="shared" si="14"/>
        <v>0</v>
      </c>
    </row>
    <row r="915" spans="1:5" x14ac:dyDescent="0.25">
      <c r="A915">
        <v>3313</v>
      </c>
      <c r="B915" s="1">
        <v>2.3006944444444444</v>
      </c>
      <c r="C915">
        <v>0</v>
      </c>
      <c r="D915">
        <v>0</v>
      </c>
      <c r="E915">
        <f t="shared" si="14"/>
        <v>0</v>
      </c>
    </row>
    <row r="916" spans="1:5" x14ac:dyDescent="0.25">
      <c r="A916">
        <v>3314</v>
      </c>
      <c r="B916" s="1">
        <v>2.3013888888888889</v>
      </c>
      <c r="C916">
        <v>0</v>
      </c>
      <c r="D916">
        <v>0</v>
      </c>
      <c r="E916">
        <f t="shared" si="14"/>
        <v>0</v>
      </c>
    </row>
    <row r="917" spans="1:5" x14ac:dyDescent="0.25">
      <c r="A917">
        <v>3315</v>
      </c>
      <c r="B917" s="1">
        <v>2.3020833333333335</v>
      </c>
      <c r="C917">
        <v>0</v>
      </c>
      <c r="D917">
        <v>0</v>
      </c>
      <c r="E917">
        <f t="shared" si="14"/>
        <v>0</v>
      </c>
    </row>
    <row r="918" spans="1:5" x14ac:dyDescent="0.25">
      <c r="A918">
        <v>3316</v>
      </c>
      <c r="B918" s="1">
        <v>2.3027777777777776</v>
      </c>
      <c r="C918">
        <v>0</v>
      </c>
      <c r="D918">
        <v>0</v>
      </c>
      <c r="E918">
        <f t="shared" si="14"/>
        <v>0</v>
      </c>
    </row>
    <row r="919" spans="1:5" x14ac:dyDescent="0.25">
      <c r="A919">
        <v>3317</v>
      </c>
      <c r="B919" s="1">
        <v>2.3034722222222221</v>
      </c>
      <c r="C919">
        <v>0</v>
      </c>
      <c r="D919">
        <v>0</v>
      </c>
      <c r="E919">
        <f t="shared" si="14"/>
        <v>0</v>
      </c>
    </row>
    <row r="920" spans="1:5" x14ac:dyDescent="0.25">
      <c r="A920">
        <v>3318</v>
      </c>
      <c r="B920" s="1">
        <v>2.3041666666666667</v>
      </c>
      <c r="C920">
        <v>0</v>
      </c>
      <c r="D920">
        <v>0</v>
      </c>
      <c r="E920">
        <f t="shared" si="14"/>
        <v>0</v>
      </c>
    </row>
    <row r="921" spans="1:5" x14ac:dyDescent="0.25">
      <c r="A921">
        <v>3319</v>
      </c>
      <c r="B921" s="1">
        <v>2.3048611111111112</v>
      </c>
      <c r="C921">
        <v>0</v>
      </c>
      <c r="D921">
        <v>0</v>
      </c>
      <c r="E921">
        <f t="shared" si="14"/>
        <v>0</v>
      </c>
    </row>
    <row r="922" spans="1:5" x14ac:dyDescent="0.25">
      <c r="A922">
        <v>3320</v>
      </c>
      <c r="B922" s="1">
        <v>2.3055555555555554</v>
      </c>
      <c r="C922">
        <v>0</v>
      </c>
      <c r="D922">
        <v>0</v>
      </c>
      <c r="E922">
        <f t="shared" si="14"/>
        <v>0</v>
      </c>
    </row>
    <row r="923" spans="1:5" x14ac:dyDescent="0.25">
      <c r="A923">
        <v>3321</v>
      </c>
      <c r="B923" s="1">
        <v>2.3062499999999999</v>
      </c>
      <c r="C923">
        <v>0</v>
      </c>
      <c r="D923">
        <v>0</v>
      </c>
      <c r="E923">
        <f t="shared" si="14"/>
        <v>0</v>
      </c>
    </row>
    <row r="924" spans="1:5" x14ac:dyDescent="0.25">
      <c r="A924">
        <v>3322</v>
      </c>
      <c r="B924" s="1">
        <v>2.3069444444444445</v>
      </c>
      <c r="C924">
        <v>0</v>
      </c>
      <c r="D924">
        <v>0</v>
      </c>
      <c r="E924">
        <f t="shared" si="14"/>
        <v>0</v>
      </c>
    </row>
    <row r="925" spans="1:5" x14ac:dyDescent="0.25">
      <c r="A925">
        <v>3323</v>
      </c>
      <c r="B925" s="1">
        <v>2.307638888888889</v>
      </c>
      <c r="C925">
        <v>0</v>
      </c>
      <c r="D925">
        <v>0</v>
      </c>
      <c r="E925">
        <f t="shared" si="14"/>
        <v>0</v>
      </c>
    </row>
    <row r="926" spans="1:5" x14ac:dyDescent="0.25">
      <c r="A926">
        <v>3324</v>
      </c>
      <c r="B926" s="1">
        <v>2.3083333333333331</v>
      </c>
      <c r="C926">
        <v>0</v>
      </c>
      <c r="D926">
        <v>0</v>
      </c>
      <c r="E926">
        <f t="shared" si="14"/>
        <v>0</v>
      </c>
    </row>
    <row r="927" spans="1:5" x14ac:dyDescent="0.25">
      <c r="A927">
        <v>3325</v>
      </c>
      <c r="B927" s="1">
        <v>2.3090277777777777</v>
      </c>
      <c r="C927">
        <v>0</v>
      </c>
      <c r="D927">
        <v>0</v>
      </c>
      <c r="E927">
        <f t="shared" si="14"/>
        <v>0</v>
      </c>
    </row>
    <row r="928" spans="1:5" x14ac:dyDescent="0.25">
      <c r="A928">
        <v>3326</v>
      </c>
      <c r="B928" s="1">
        <v>2.3097222222222222</v>
      </c>
      <c r="C928">
        <v>0</v>
      </c>
      <c r="D928">
        <v>0</v>
      </c>
      <c r="E928">
        <f t="shared" si="14"/>
        <v>0</v>
      </c>
    </row>
    <row r="929" spans="1:5" x14ac:dyDescent="0.25">
      <c r="A929">
        <v>3327</v>
      </c>
      <c r="B929" s="1">
        <v>2.3104166666666668</v>
      </c>
      <c r="C929">
        <v>0</v>
      </c>
      <c r="D929">
        <v>0</v>
      </c>
      <c r="E929">
        <f t="shared" si="14"/>
        <v>0</v>
      </c>
    </row>
    <row r="930" spans="1:5" x14ac:dyDescent="0.25">
      <c r="A930">
        <v>3328</v>
      </c>
      <c r="B930" s="1">
        <v>2.3111111111111109</v>
      </c>
      <c r="C930">
        <v>0</v>
      </c>
      <c r="D930">
        <v>0</v>
      </c>
      <c r="E930">
        <f t="shared" si="14"/>
        <v>0</v>
      </c>
    </row>
    <row r="931" spans="1:5" x14ac:dyDescent="0.25">
      <c r="A931">
        <v>3329</v>
      </c>
      <c r="B931" s="1">
        <v>2.3118055555555554</v>
      </c>
      <c r="C931">
        <v>0</v>
      </c>
      <c r="D931">
        <v>0</v>
      </c>
      <c r="E931">
        <f t="shared" si="14"/>
        <v>0</v>
      </c>
    </row>
    <row r="932" spans="1:5" x14ac:dyDescent="0.25">
      <c r="A932">
        <v>3330</v>
      </c>
      <c r="B932" s="1">
        <v>2.3125</v>
      </c>
      <c r="C932">
        <v>0</v>
      </c>
      <c r="D932">
        <v>0</v>
      </c>
      <c r="E932">
        <f t="shared" si="14"/>
        <v>0</v>
      </c>
    </row>
    <row r="933" spans="1:5" x14ac:dyDescent="0.25">
      <c r="A933">
        <v>3331</v>
      </c>
      <c r="B933" s="1">
        <v>2.3131944444444446</v>
      </c>
      <c r="C933">
        <v>0</v>
      </c>
      <c r="D933">
        <v>0</v>
      </c>
      <c r="E933">
        <f t="shared" si="14"/>
        <v>0</v>
      </c>
    </row>
    <row r="934" spans="1:5" x14ac:dyDescent="0.25">
      <c r="A934">
        <v>3332</v>
      </c>
      <c r="B934" s="1">
        <v>2.3138888888888891</v>
      </c>
      <c r="C934">
        <v>0</v>
      </c>
      <c r="D934">
        <v>0</v>
      </c>
      <c r="E934">
        <f t="shared" si="14"/>
        <v>0</v>
      </c>
    </row>
    <row r="935" spans="1:5" x14ac:dyDescent="0.25">
      <c r="A935">
        <v>3333</v>
      </c>
      <c r="B935" s="1">
        <v>2.3145833333333332</v>
      </c>
      <c r="C935">
        <v>0</v>
      </c>
      <c r="D935">
        <v>0</v>
      </c>
      <c r="E935">
        <f t="shared" si="14"/>
        <v>0</v>
      </c>
    </row>
    <row r="936" spans="1:5" x14ac:dyDescent="0.25">
      <c r="A936">
        <v>3334</v>
      </c>
      <c r="B936" s="1">
        <v>2.3152777777777778</v>
      </c>
      <c r="C936">
        <v>0</v>
      </c>
      <c r="D936">
        <v>0</v>
      </c>
      <c r="E936">
        <f t="shared" si="14"/>
        <v>0</v>
      </c>
    </row>
    <row r="937" spans="1:5" x14ac:dyDescent="0.25">
      <c r="A937">
        <v>3335</v>
      </c>
      <c r="B937" s="1">
        <v>2.3159722222222223</v>
      </c>
      <c r="C937">
        <v>0</v>
      </c>
      <c r="D937">
        <v>0</v>
      </c>
      <c r="E937">
        <f t="shared" si="14"/>
        <v>0</v>
      </c>
    </row>
    <row r="938" spans="1:5" x14ac:dyDescent="0.25">
      <c r="A938">
        <v>3336</v>
      </c>
      <c r="B938" s="1">
        <v>2.3166666666666669</v>
      </c>
      <c r="C938">
        <v>0</v>
      </c>
      <c r="D938">
        <v>0</v>
      </c>
      <c r="E938">
        <f t="shared" si="14"/>
        <v>0</v>
      </c>
    </row>
    <row r="939" spans="1:5" x14ac:dyDescent="0.25">
      <c r="A939">
        <v>3337</v>
      </c>
      <c r="B939" s="1">
        <v>2.317361111111111</v>
      </c>
      <c r="C939">
        <v>0</v>
      </c>
      <c r="D939">
        <v>0</v>
      </c>
      <c r="E939">
        <f t="shared" si="14"/>
        <v>0</v>
      </c>
    </row>
    <row r="940" spans="1:5" x14ac:dyDescent="0.25">
      <c r="A940">
        <v>3338</v>
      </c>
      <c r="B940" s="1">
        <v>2.3180555555555555</v>
      </c>
      <c r="C940">
        <v>0</v>
      </c>
      <c r="D940">
        <v>0</v>
      </c>
      <c r="E940">
        <f t="shared" si="14"/>
        <v>0</v>
      </c>
    </row>
    <row r="941" spans="1:5" x14ac:dyDescent="0.25">
      <c r="A941">
        <v>3339</v>
      </c>
      <c r="B941" s="1">
        <v>2.3187500000000001</v>
      </c>
      <c r="C941">
        <v>0</v>
      </c>
      <c r="D941">
        <v>0</v>
      </c>
      <c r="E941">
        <f t="shared" si="14"/>
        <v>0</v>
      </c>
    </row>
    <row r="942" spans="1:5" x14ac:dyDescent="0.25">
      <c r="A942">
        <v>3340</v>
      </c>
      <c r="B942" s="1">
        <v>2.3194444444444446</v>
      </c>
      <c r="C942">
        <v>0</v>
      </c>
      <c r="D942">
        <v>0</v>
      </c>
      <c r="E942">
        <f t="shared" si="14"/>
        <v>0</v>
      </c>
    </row>
    <row r="943" spans="1:5" x14ac:dyDescent="0.25">
      <c r="A943">
        <v>3341</v>
      </c>
      <c r="B943" s="1">
        <v>2.3201388888888888</v>
      </c>
      <c r="C943">
        <v>0</v>
      </c>
      <c r="D943">
        <v>0</v>
      </c>
      <c r="E943">
        <f t="shared" si="14"/>
        <v>0</v>
      </c>
    </row>
    <row r="944" spans="1:5" x14ac:dyDescent="0.25">
      <c r="A944">
        <v>3342</v>
      </c>
      <c r="B944" s="1">
        <v>2.3208333333333333</v>
      </c>
      <c r="C944">
        <v>0</v>
      </c>
      <c r="D944">
        <v>0</v>
      </c>
      <c r="E944">
        <f t="shared" si="14"/>
        <v>0</v>
      </c>
    </row>
    <row r="945" spans="1:5" x14ac:dyDescent="0.25">
      <c r="A945">
        <v>3343</v>
      </c>
      <c r="B945" s="1">
        <v>2.3215277777777779</v>
      </c>
      <c r="C945">
        <v>0</v>
      </c>
      <c r="D945">
        <v>0</v>
      </c>
      <c r="E945">
        <f t="shared" si="14"/>
        <v>0</v>
      </c>
    </row>
    <row r="946" spans="1:5" x14ac:dyDescent="0.25">
      <c r="A946">
        <v>3344</v>
      </c>
      <c r="B946" s="1">
        <v>2.3222222222222224</v>
      </c>
      <c r="C946">
        <v>0</v>
      </c>
      <c r="D946">
        <v>0</v>
      </c>
      <c r="E946">
        <f t="shared" si="14"/>
        <v>0</v>
      </c>
    </row>
    <row r="947" spans="1:5" x14ac:dyDescent="0.25">
      <c r="A947">
        <v>3345</v>
      </c>
      <c r="B947" s="1">
        <v>2.3229166666666665</v>
      </c>
      <c r="C947">
        <v>0</v>
      </c>
      <c r="D947">
        <v>0</v>
      </c>
      <c r="E947">
        <f t="shared" si="14"/>
        <v>0</v>
      </c>
    </row>
    <row r="948" spans="1:5" x14ac:dyDescent="0.25">
      <c r="A948">
        <v>3346</v>
      </c>
      <c r="B948" s="1">
        <v>2.3236111111111111</v>
      </c>
      <c r="C948">
        <v>0</v>
      </c>
      <c r="D948">
        <v>0</v>
      </c>
      <c r="E948">
        <f t="shared" si="14"/>
        <v>0</v>
      </c>
    </row>
    <row r="949" spans="1:5" x14ac:dyDescent="0.25">
      <c r="A949">
        <v>3347</v>
      </c>
      <c r="B949" s="1">
        <v>2.3243055555555556</v>
      </c>
      <c r="C949">
        <v>0</v>
      </c>
      <c r="D949">
        <v>0</v>
      </c>
      <c r="E949">
        <f t="shared" si="14"/>
        <v>0</v>
      </c>
    </row>
    <row r="950" spans="1:5" x14ac:dyDescent="0.25">
      <c r="A950">
        <v>3348</v>
      </c>
      <c r="B950" s="1">
        <v>2.3250000000000002</v>
      </c>
      <c r="C950">
        <v>0</v>
      </c>
      <c r="D950">
        <v>0</v>
      </c>
      <c r="E950">
        <f t="shared" si="14"/>
        <v>0</v>
      </c>
    </row>
    <row r="951" spans="1:5" x14ac:dyDescent="0.25">
      <c r="A951">
        <v>3349</v>
      </c>
      <c r="B951" s="1">
        <v>2.3256944444444443</v>
      </c>
      <c r="C951">
        <v>0</v>
      </c>
      <c r="D951">
        <v>0</v>
      </c>
      <c r="E951">
        <f t="shared" si="14"/>
        <v>0</v>
      </c>
    </row>
    <row r="952" spans="1:5" x14ac:dyDescent="0.25">
      <c r="A952">
        <v>3350</v>
      </c>
      <c r="B952" s="1">
        <v>2.3263888888888888</v>
      </c>
      <c r="C952">
        <v>0</v>
      </c>
      <c r="D952">
        <v>0</v>
      </c>
      <c r="E952">
        <f t="shared" si="14"/>
        <v>0</v>
      </c>
    </row>
    <row r="953" spans="1:5" x14ac:dyDescent="0.25">
      <c r="A953">
        <v>3351</v>
      </c>
      <c r="B953" s="1">
        <v>2.3270833333333334</v>
      </c>
      <c r="C953">
        <v>0</v>
      </c>
      <c r="D953">
        <v>0</v>
      </c>
      <c r="E953">
        <f t="shared" si="14"/>
        <v>0</v>
      </c>
    </row>
    <row r="954" spans="1:5" x14ac:dyDescent="0.25">
      <c r="A954">
        <v>3352</v>
      </c>
      <c r="B954" s="1">
        <v>2.3277777777777779</v>
      </c>
      <c r="C954">
        <v>0</v>
      </c>
      <c r="D954">
        <v>0</v>
      </c>
      <c r="E954">
        <f t="shared" si="14"/>
        <v>0</v>
      </c>
    </row>
    <row r="955" spans="1:5" x14ac:dyDescent="0.25">
      <c r="A955">
        <v>3353</v>
      </c>
      <c r="B955" s="1">
        <v>2.3284722222222221</v>
      </c>
      <c r="C955">
        <v>0</v>
      </c>
      <c r="D955">
        <v>0</v>
      </c>
      <c r="E955">
        <f t="shared" si="14"/>
        <v>0</v>
      </c>
    </row>
    <row r="956" spans="1:5" x14ac:dyDescent="0.25">
      <c r="A956">
        <v>3354</v>
      </c>
      <c r="B956" s="1">
        <v>2.3291666666666666</v>
      </c>
      <c r="C956">
        <v>0</v>
      </c>
      <c r="D956">
        <v>0</v>
      </c>
      <c r="E956">
        <f t="shared" si="14"/>
        <v>0</v>
      </c>
    </row>
    <row r="957" spans="1:5" x14ac:dyDescent="0.25">
      <c r="A957">
        <v>3355</v>
      </c>
      <c r="B957" s="1">
        <v>2.3298611111111112</v>
      </c>
      <c r="C957">
        <v>0</v>
      </c>
      <c r="D957">
        <v>0</v>
      </c>
      <c r="E957">
        <f t="shared" si="14"/>
        <v>0</v>
      </c>
    </row>
    <row r="958" spans="1:5" x14ac:dyDescent="0.25">
      <c r="A958">
        <v>3356</v>
      </c>
      <c r="B958" s="1">
        <v>2.3305555555555557</v>
      </c>
      <c r="C958">
        <v>0</v>
      </c>
      <c r="D958">
        <v>0</v>
      </c>
      <c r="E958">
        <f t="shared" si="14"/>
        <v>0</v>
      </c>
    </row>
    <row r="959" spans="1:5" x14ac:dyDescent="0.25">
      <c r="A959">
        <v>3357</v>
      </c>
      <c r="B959" s="1">
        <v>2.3312499999999998</v>
      </c>
      <c r="C959">
        <v>0</v>
      </c>
      <c r="D959">
        <v>0</v>
      </c>
      <c r="E959">
        <f t="shared" si="14"/>
        <v>0</v>
      </c>
    </row>
    <row r="960" spans="1:5" x14ac:dyDescent="0.25">
      <c r="A960">
        <v>3358</v>
      </c>
      <c r="B960" s="1">
        <v>2.3319444444444444</v>
      </c>
      <c r="C960">
        <v>0</v>
      </c>
      <c r="D960">
        <v>0</v>
      </c>
      <c r="E960">
        <f t="shared" si="14"/>
        <v>0</v>
      </c>
    </row>
    <row r="961" spans="1:5" x14ac:dyDescent="0.25">
      <c r="A961">
        <v>3359</v>
      </c>
      <c r="B961" s="1">
        <v>2.3326388888888889</v>
      </c>
      <c r="C961">
        <v>0</v>
      </c>
      <c r="D961">
        <v>0</v>
      </c>
      <c r="E961">
        <f t="shared" si="14"/>
        <v>0</v>
      </c>
    </row>
    <row r="962" spans="1:5" x14ac:dyDescent="0.25">
      <c r="A962">
        <v>3360</v>
      </c>
      <c r="B962" s="1">
        <v>2.3333333333333335</v>
      </c>
      <c r="C962">
        <v>0</v>
      </c>
      <c r="D962">
        <v>0</v>
      </c>
      <c r="E962">
        <f t="shared" si="14"/>
        <v>0</v>
      </c>
    </row>
    <row r="963" spans="1:5" x14ac:dyDescent="0.25">
      <c r="A963">
        <v>3361</v>
      </c>
      <c r="B963" s="1">
        <v>2.3340277777777776</v>
      </c>
      <c r="C963">
        <v>0</v>
      </c>
      <c r="D963">
        <v>0</v>
      </c>
      <c r="E963">
        <f t="shared" ref="E963:E1026" si="15">D963*$H$3</f>
        <v>0</v>
      </c>
    </row>
    <row r="964" spans="1:5" x14ac:dyDescent="0.25">
      <c r="A964">
        <v>3362</v>
      </c>
      <c r="B964" s="1">
        <v>2.3347222222222221</v>
      </c>
      <c r="C964">
        <v>0</v>
      </c>
      <c r="D964">
        <v>0</v>
      </c>
      <c r="E964">
        <f t="shared" si="15"/>
        <v>0</v>
      </c>
    </row>
    <row r="965" spans="1:5" x14ac:dyDescent="0.25">
      <c r="A965">
        <v>3363</v>
      </c>
      <c r="B965" s="1">
        <v>2.3354166666666667</v>
      </c>
      <c r="C965">
        <v>0</v>
      </c>
      <c r="D965">
        <v>0</v>
      </c>
      <c r="E965">
        <f t="shared" si="15"/>
        <v>0</v>
      </c>
    </row>
    <row r="966" spans="1:5" x14ac:dyDescent="0.25">
      <c r="A966">
        <v>3364</v>
      </c>
      <c r="B966" s="1">
        <v>2.3361111111111112</v>
      </c>
      <c r="C966">
        <v>0</v>
      </c>
      <c r="D966">
        <v>0</v>
      </c>
      <c r="E966">
        <f t="shared" si="15"/>
        <v>0</v>
      </c>
    </row>
    <row r="967" spans="1:5" x14ac:dyDescent="0.25">
      <c r="A967">
        <v>3365</v>
      </c>
      <c r="B967" s="1">
        <v>2.3368055555555554</v>
      </c>
      <c r="C967">
        <v>0</v>
      </c>
      <c r="D967">
        <v>0</v>
      </c>
      <c r="E967">
        <f t="shared" si="15"/>
        <v>0</v>
      </c>
    </row>
    <row r="968" spans="1:5" x14ac:dyDescent="0.25">
      <c r="A968">
        <v>3366</v>
      </c>
      <c r="B968" s="1">
        <v>2.3374999999999999</v>
      </c>
      <c r="C968">
        <v>0</v>
      </c>
      <c r="D968">
        <v>0</v>
      </c>
      <c r="E968">
        <f t="shared" si="15"/>
        <v>0</v>
      </c>
    </row>
    <row r="969" spans="1:5" x14ac:dyDescent="0.25">
      <c r="A969">
        <v>3367</v>
      </c>
      <c r="B969" s="1">
        <v>2.3381944444444445</v>
      </c>
      <c r="C969">
        <v>0</v>
      </c>
      <c r="D969">
        <v>0</v>
      </c>
      <c r="E969">
        <f t="shared" si="15"/>
        <v>0</v>
      </c>
    </row>
    <row r="970" spans="1:5" x14ac:dyDescent="0.25">
      <c r="A970">
        <v>3368</v>
      </c>
      <c r="B970" s="1">
        <v>2.338888888888889</v>
      </c>
      <c r="C970">
        <v>0</v>
      </c>
      <c r="D970">
        <v>0</v>
      </c>
      <c r="E970">
        <f t="shared" si="15"/>
        <v>0</v>
      </c>
    </row>
    <row r="971" spans="1:5" x14ac:dyDescent="0.25">
      <c r="A971">
        <v>3369</v>
      </c>
      <c r="B971" s="1">
        <v>2.3395833333333331</v>
      </c>
      <c r="C971">
        <v>0</v>
      </c>
      <c r="D971">
        <v>0</v>
      </c>
      <c r="E971">
        <f t="shared" si="15"/>
        <v>0</v>
      </c>
    </row>
    <row r="972" spans="1:5" x14ac:dyDescent="0.25">
      <c r="A972">
        <v>3370</v>
      </c>
      <c r="B972" s="1">
        <v>2.3402777777777777</v>
      </c>
      <c r="C972">
        <v>0</v>
      </c>
      <c r="D972">
        <v>0</v>
      </c>
      <c r="E972">
        <f t="shared" si="15"/>
        <v>0</v>
      </c>
    </row>
    <row r="973" spans="1:5" x14ac:dyDescent="0.25">
      <c r="A973">
        <v>3371</v>
      </c>
      <c r="B973" s="1">
        <v>2.3409722222222222</v>
      </c>
      <c r="C973">
        <v>0</v>
      </c>
      <c r="D973">
        <v>0</v>
      </c>
      <c r="E973">
        <f t="shared" si="15"/>
        <v>0</v>
      </c>
    </row>
    <row r="974" spans="1:5" x14ac:dyDescent="0.25">
      <c r="A974">
        <v>3372</v>
      </c>
      <c r="B974" s="1">
        <v>2.3416666666666668</v>
      </c>
      <c r="C974">
        <v>0</v>
      </c>
      <c r="D974">
        <v>0</v>
      </c>
      <c r="E974">
        <f t="shared" si="15"/>
        <v>0</v>
      </c>
    </row>
    <row r="975" spans="1:5" x14ac:dyDescent="0.25">
      <c r="A975">
        <v>3373</v>
      </c>
      <c r="B975" s="1">
        <v>2.3423611111111109</v>
      </c>
      <c r="C975">
        <v>0</v>
      </c>
      <c r="D975">
        <v>0</v>
      </c>
      <c r="E975">
        <f t="shared" si="15"/>
        <v>0</v>
      </c>
    </row>
    <row r="976" spans="1:5" x14ac:dyDescent="0.25">
      <c r="A976">
        <v>3374</v>
      </c>
      <c r="B976" s="1">
        <v>2.3430555555555554</v>
      </c>
      <c r="C976">
        <v>0</v>
      </c>
      <c r="D976">
        <v>0</v>
      </c>
      <c r="E976">
        <f t="shared" si="15"/>
        <v>0</v>
      </c>
    </row>
    <row r="977" spans="1:5" x14ac:dyDescent="0.25">
      <c r="A977">
        <v>3375</v>
      </c>
      <c r="B977" s="1">
        <v>2.34375</v>
      </c>
      <c r="C977">
        <v>0</v>
      </c>
      <c r="D977">
        <v>0</v>
      </c>
      <c r="E977">
        <f t="shared" si="15"/>
        <v>0</v>
      </c>
    </row>
    <row r="978" spans="1:5" x14ac:dyDescent="0.25">
      <c r="A978">
        <v>3376</v>
      </c>
      <c r="B978" s="1">
        <v>2.3444444444444446</v>
      </c>
      <c r="C978">
        <v>0</v>
      </c>
      <c r="D978">
        <v>0</v>
      </c>
      <c r="E978">
        <f t="shared" si="15"/>
        <v>0</v>
      </c>
    </row>
    <row r="979" spans="1:5" x14ac:dyDescent="0.25">
      <c r="A979">
        <v>3377</v>
      </c>
      <c r="B979" s="1">
        <v>2.3451388888888891</v>
      </c>
      <c r="C979">
        <v>0</v>
      </c>
      <c r="D979">
        <v>0</v>
      </c>
      <c r="E979">
        <f t="shared" si="15"/>
        <v>0</v>
      </c>
    </row>
    <row r="980" spans="1:5" x14ac:dyDescent="0.25">
      <c r="A980">
        <v>3378</v>
      </c>
      <c r="B980" s="1">
        <v>2.3458333333333332</v>
      </c>
      <c r="C980">
        <v>0</v>
      </c>
      <c r="D980">
        <v>0</v>
      </c>
      <c r="E980">
        <f t="shared" si="15"/>
        <v>0</v>
      </c>
    </row>
    <row r="981" spans="1:5" x14ac:dyDescent="0.25">
      <c r="A981">
        <v>3379</v>
      </c>
      <c r="B981" s="1">
        <v>2.3465277777777778</v>
      </c>
      <c r="C981">
        <v>0</v>
      </c>
      <c r="D981">
        <v>0</v>
      </c>
      <c r="E981">
        <f t="shared" si="15"/>
        <v>0</v>
      </c>
    </row>
    <row r="982" spans="1:5" x14ac:dyDescent="0.25">
      <c r="A982">
        <v>3380</v>
      </c>
      <c r="B982" s="1">
        <v>2.3472222222222223</v>
      </c>
      <c r="C982">
        <v>0</v>
      </c>
      <c r="D982">
        <v>0</v>
      </c>
      <c r="E982">
        <f t="shared" si="15"/>
        <v>0</v>
      </c>
    </row>
    <row r="983" spans="1:5" x14ac:dyDescent="0.25">
      <c r="A983">
        <v>3381</v>
      </c>
      <c r="B983" s="1">
        <v>2.3479166666666669</v>
      </c>
      <c r="C983">
        <v>0</v>
      </c>
      <c r="D983">
        <v>0</v>
      </c>
      <c r="E983">
        <f t="shared" si="15"/>
        <v>0</v>
      </c>
    </row>
    <row r="984" spans="1:5" x14ac:dyDescent="0.25">
      <c r="A984">
        <v>3382</v>
      </c>
      <c r="B984" s="1">
        <v>2.348611111111111</v>
      </c>
      <c r="C984">
        <v>0</v>
      </c>
      <c r="D984">
        <v>0</v>
      </c>
      <c r="E984">
        <f t="shared" si="15"/>
        <v>0</v>
      </c>
    </row>
    <row r="985" spans="1:5" x14ac:dyDescent="0.25">
      <c r="A985">
        <v>3383</v>
      </c>
      <c r="B985" s="1">
        <v>2.3493055555555555</v>
      </c>
      <c r="C985">
        <v>0</v>
      </c>
      <c r="D985">
        <v>0</v>
      </c>
      <c r="E985">
        <f t="shared" si="15"/>
        <v>0</v>
      </c>
    </row>
    <row r="986" spans="1:5" x14ac:dyDescent="0.25">
      <c r="A986">
        <v>3384</v>
      </c>
      <c r="B986" s="1">
        <v>2.35</v>
      </c>
      <c r="C986">
        <v>0</v>
      </c>
      <c r="D986">
        <v>0</v>
      </c>
      <c r="E986">
        <f t="shared" si="15"/>
        <v>0</v>
      </c>
    </row>
    <row r="987" spans="1:5" x14ac:dyDescent="0.25">
      <c r="A987">
        <v>3385</v>
      </c>
      <c r="B987" s="1">
        <v>2.3506944444444446</v>
      </c>
      <c r="C987">
        <v>0</v>
      </c>
      <c r="D987">
        <v>0</v>
      </c>
      <c r="E987">
        <f t="shared" si="15"/>
        <v>0</v>
      </c>
    </row>
    <row r="988" spans="1:5" x14ac:dyDescent="0.25">
      <c r="A988">
        <v>3386</v>
      </c>
      <c r="B988" s="1">
        <v>2.3513888888888888</v>
      </c>
      <c r="C988">
        <v>0</v>
      </c>
      <c r="D988">
        <v>0</v>
      </c>
      <c r="E988">
        <f t="shared" si="15"/>
        <v>0</v>
      </c>
    </row>
    <row r="989" spans="1:5" x14ac:dyDescent="0.25">
      <c r="A989">
        <v>3387</v>
      </c>
      <c r="B989" s="1">
        <v>2.3520833333333333</v>
      </c>
      <c r="C989">
        <v>0</v>
      </c>
      <c r="D989">
        <v>0</v>
      </c>
      <c r="E989">
        <f t="shared" si="15"/>
        <v>0</v>
      </c>
    </row>
    <row r="990" spans="1:5" x14ac:dyDescent="0.25">
      <c r="A990">
        <v>3388</v>
      </c>
      <c r="B990" s="1">
        <v>2.3527777777777779</v>
      </c>
      <c r="C990">
        <v>0</v>
      </c>
      <c r="D990">
        <v>0</v>
      </c>
      <c r="E990">
        <f t="shared" si="15"/>
        <v>0</v>
      </c>
    </row>
    <row r="991" spans="1:5" x14ac:dyDescent="0.25">
      <c r="A991">
        <v>3389</v>
      </c>
      <c r="B991" s="1">
        <v>2.3534722222222224</v>
      </c>
      <c r="C991">
        <v>0</v>
      </c>
      <c r="D991">
        <v>0</v>
      </c>
      <c r="E991">
        <f t="shared" si="15"/>
        <v>0</v>
      </c>
    </row>
    <row r="992" spans="1:5" x14ac:dyDescent="0.25">
      <c r="A992">
        <v>3390</v>
      </c>
      <c r="B992" s="1">
        <v>2.3541666666666665</v>
      </c>
      <c r="C992">
        <v>0</v>
      </c>
      <c r="D992">
        <v>0</v>
      </c>
      <c r="E992">
        <f t="shared" si="15"/>
        <v>0</v>
      </c>
    </row>
    <row r="993" spans="1:5" x14ac:dyDescent="0.25">
      <c r="A993">
        <v>3391</v>
      </c>
      <c r="B993" s="1">
        <v>2.3548611111111111</v>
      </c>
      <c r="C993">
        <v>0</v>
      </c>
      <c r="D993">
        <v>0</v>
      </c>
      <c r="E993">
        <f t="shared" si="15"/>
        <v>0</v>
      </c>
    </row>
    <row r="994" spans="1:5" x14ac:dyDescent="0.25">
      <c r="A994">
        <v>3392</v>
      </c>
      <c r="B994" s="1">
        <v>2.3555555555555556</v>
      </c>
      <c r="C994">
        <v>0</v>
      </c>
      <c r="D994">
        <v>0</v>
      </c>
      <c r="E994">
        <f t="shared" si="15"/>
        <v>0</v>
      </c>
    </row>
    <row r="995" spans="1:5" x14ac:dyDescent="0.25">
      <c r="A995">
        <v>3393</v>
      </c>
      <c r="B995" s="1">
        <v>2.3562500000000002</v>
      </c>
      <c r="C995">
        <v>0</v>
      </c>
      <c r="D995">
        <v>0</v>
      </c>
      <c r="E995">
        <f t="shared" si="15"/>
        <v>0</v>
      </c>
    </row>
    <row r="996" spans="1:5" x14ac:dyDescent="0.25">
      <c r="A996">
        <v>3394</v>
      </c>
      <c r="B996" s="1">
        <v>2.3569444444444443</v>
      </c>
      <c r="C996">
        <v>0</v>
      </c>
      <c r="D996">
        <v>0</v>
      </c>
      <c r="E996">
        <f t="shared" si="15"/>
        <v>0</v>
      </c>
    </row>
    <row r="997" spans="1:5" x14ac:dyDescent="0.25">
      <c r="A997">
        <v>3395</v>
      </c>
      <c r="B997" s="1">
        <v>2.3576388888888888</v>
      </c>
      <c r="C997">
        <v>0</v>
      </c>
      <c r="D997">
        <v>0</v>
      </c>
      <c r="E997">
        <f t="shared" si="15"/>
        <v>0</v>
      </c>
    </row>
    <row r="998" spans="1:5" x14ac:dyDescent="0.25">
      <c r="A998">
        <v>3396</v>
      </c>
      <c r="B998" s="1">
        <v>2.3583333333333334</v>
      </c>
      <c r="C998">
        <v>0</v>
      </c>
      <c r="D998">
        <v>0</v>
      </c>
      <c r="E998">
        <f t="shared" si="15"/>
        <v>0</v>
      </c>
    </row>
    <row r="999" spans="1:5" x14ac:dyDescent="0.25">
      <c r="A999">
        <v>3397</v>
      </c>
      <c r="B999" s="1">
        <v>2.3590277777777779</v>
      </c>
      <c r="C999">
        <v>0</v>
      </c>
      <c r="D999">
        <v>0</v>
      </c>
      <c r="E999">
        <f t="shared" si="15"/>
        <v>0</v>
      </c>
    </row>
    <row r="1000" spans="1:5" x14ac:dyDescent="0.25">
      <c r="A1000">
        <v>3398</v>
      </c>
      <c r="B1000" s="1">
        <v>2.3597222222222221</v>
      </c>
      <c r="C1000">
        <v>0</v>
      </c>
      <c r="D1000">
        <v>0</v>
      </c>
      <c r="E1000">
        <f t="shared" si="15"/>
        <v>0</v>
      </c>
    </row>
    <row r="1001" spans="1:5" x14ac:dyDescent="0.25">
      <c r="A1001">
        <v>3399</v>
      </c>
      <c r="B1001" s="1">
        <v>2.3604166666666666</v>
      </c>
      <c r="C1001">
        <v>0</v>
      </c>
      <c r="D1001">
        <v>0</v>
      </c>
      <c r="E1001">
        <f t="shared" si="15"/>
        <v>0</v>
      </c>
    </row>
    <row r="1002" spans="1:5" x14ac:dyDescent="0.25">
      <c r="A1002">
        <v>3400</v>
      </c>
      <c r="B1002" s="1">
        <v>2.3611111111111112</v>
      </c>
      <c r="C1002">
        <v>0</v>
      </c>
      <c r="D1002">
        <v>0</v>
      </c>
      <c r="E1002">
        <f t="shared" si="15"/>
        <v>0</v>
      </c>
    </row>
    <row r="1003" spans="1:5" x14ac:dyDescent="0.25">
      <c r="A1003">
        <v>3401</v>
      </c>
      <c r="B1003" s="1">
        <v>2.3618055555555557</v>
      </c>
      <c r="C1003">
        <v>0</v>
      </c>
      <c r="D1003">
        <v>0</v>
      </c>
      <c r="E1003">
        <f t="shared" si="15"/>
        <v>0</v>
      </c>
    </row>
    <row r="1004" spans="1:5" x14ac:dyDescent="0.25">
      <c r="A1004">
        <v>3402</v>
      </c>
      <c r="B1004" s="1">
        <v>2.3624999999999998</v>
      </c>
      <c r="C1004">
        <v>0</v>
      </c>
      <c r="D1004">
        <v>0</v>
      </c>
      <c r="E1004">
        <f t="shared" si="15"/>
        <v>0</v>
      </c>
    </row>
    <row r="1005" spans="1:5" x14ac:dyDescent="0.25">
      <c r="A1005">
        <v>3403</v>
      </c>
      <c r="B1005" s="1">
        <v>2.3631944444444444</v>
      </c>
      <c r="C1005">
        <v>0</v>
      </c>
      <c r="D1005">
        <v>0</v>
      </c>
      <c r="E1005">
        <f t="shared" si="15"/>
        <v>0</v>
      </c>
    </row>
    <row r="1006" spans="1:5" x14ac:dyDescent="0.25">
      <c r="A1006">
        <v>3404</v>
      </c>
      <c r="B1006" s="1">
        <v>2.3638888888888889</v>
      </c>
      <c r="C1006">
        <v>0</v>
      </c>
      <c r="D1006">
        <v>0</v>
      </c>
      <c r="E1006">
        <f t="shared" si="15"/>
        <v>0</v>
      </c>
    </row>
    <row r="1007" spans="1:5" x14ac:dyDescent="0.25">
      <c r="A1007">
        <v>3405</v>
      </c>
      <c r="B1007" s="1">
        <v>2.3645833333333335</v>
      </c>
      <c r="C1007">
        <v>0</v>
      </c>
      <c r="D1007">
        <v>0</v>
      </c>
      <c r="E1007">
        <f t="shared" si="15"/>
        <v>0</v>
      </c>
    </row>
    <row r="1008" spans="1:5" x14ac:dyDescent="0.25">
      <c r="A1008">
        <v>3406</v>
      </c>
      <c r="B1008" s="1">
        <v>2.3652777777777776</v>
      </c>
      <c r="C1008">
        <v>0</v>
      </c>
      <c r="D1008">
        <v>0</v>
      </c>
      <c r="E1008">
        <f t="shared" si="15"/>
        <v>0</v>
      </c>
    </row>
    <row r="1009" spans="1:5" x14ac:dyDescent="0.25">
      <c r="A1009">
        <v>3407</v>
      </c>
      <c r="B1009" s="1">
        <v>2.3659722222222221</v>
      </c>
      <c r="C1009">
        <v>0</v>
      </c>
      <c r="D1009">
        <v>0</v>
      </c>
      <c r="E1009">
        <f t="shared" si="15"/>
        <v>0</v>
      </c>
    </row>
    <row r="1010" spans="1:5" x14ac:dyDescent="0.25">
      <c r="A1010">
        <v>3408</v>
      </c>
      <c r="B1010" s="1">
        <v>2.3666666666666667</v>
      </c>
      <c r="C1010">
        <v>0</v>
      </c>
      <c r="D1010">
        <v>0</v>
      </c>
      <c r="E1010">
        <f t="shared" si="15"/>
        <v>0</v>
      </c>
    </row>
    <row r="1011" spans="1:5" x14ac:dyDescent="0.25">
      <c r="A1011">
        <v>3409</v>
      </c>
      <c r="B1011" s="1">
        <v>2.3673611111111112</v>
      </c>
      <c r="C1011">
        <v>0</v>
      </c>
      <c r="D1011">
        <v>0</v>
      </c>
      <c r="E1011">
        <f t="shared" si="15"/>
        <v>0</v>
      </c>
    </row>
    <row r="1012" spans="1:5" x14ac:dyDescent="0.25">
      <c r="A1012">
        <v>3410</v>
      </c>
      <c r="B1012" s="1">
        <v>2.3680555555555554</v>
      </c>
      <c r="C1012">
        <v>0</v>
      </c>
      <c r="D1012">
        <v>0</v>
      </c>
      <c r="E1012">
        <f t="shared" si="15"/>
        <v>0</v>
      </c>
    </row>
    <row r="1013" spans="1:5" x14ac:dyDescent="0.25">
      <c r="A1013">
        <v>3411</v>
      </c>
      <c r="B1013" s="1">
        <v>2.3687499999999999</v>
      </c>
      <c r="C1013">
        <v>0</v>
      </c>
      <c r="D1013">
        <v>0</v>
      </c>
      <c r="E1013">
        <f t="shared" si="15"/>
        <v>0</v>
      </c>
    </row>
    <row r="1014" spans="1:5" x14ac:dyDescent="0.25">
      <c r="A1014">
        <v>3412</v>
      </c>
      <c r="B1014" s="1">
        <v>2.3694444444444445</v>
      </c>
      <c r="C1014">
        <v>0</v>
      </c>
      <c r="D1014">
        <v>0</v>
      </c>
      <c r="E1014">
        <f t="shared" si="15"/>
        <v>0</v>
      </c>
    </row>
    <row r="1015" spans="1:5" x14ac:dyDescent="0.25">
      <c r="A1015">
        <v>3413</v>
      </c>
      <c r="B1015" s="1">
        <v>2.370138888888889</v>
      </c>
      <c r="C1015">
        <v>0</v>
      </c>
      <c r="D1015">
        <v>0</v>
      </c>
      <c r="E1015">
        <f t="shared" si="15"/>
        <v>0</v>
      </c>
    </row>
    <row r="1016" spans="1:5" x14ac:dyDescent="0.25">
      <c r="A1016">
        <v>3414</v>
      </c>
      <c r="B1016" s="1">
        <v>2.3708333333333331</v>
      </c>
      <c r="C1016">
        <v>0</v>
      </c>
      <c r="D1016">
        <v>0</v>
      </c>
      <c r="E1016">
        <f t="shared" si="15"/>
        <v>0</v>
      </c>
    </row>
    <row r="1017" spans="1:5" x14ac:dyDescent="0.25">
      <c r="A1017">
        <v>3415</v>
      </c>
      <c r="B1017" s="1">
        <v>2.3715277777777777</v>
      </c>
      <c r="C1017">
        <v>0</v>
      </c>
      <c r="D1017">
        <v>0</v>
      </c>
      <c r="E1017">
        <f t="shared" si="15"/>
        <v>0</v>
      </c>
    </row>
    <row r="1018" spans="1:5" x14ac:dyDescent="0.25">
      <c r="A1018">
        <v>3416</v>
      </c>
      <c r="B1018" s="1">
        <v>2.3722222222222222</v>
      </c>
      <c r="C1018">
        <v>0</v>
      </c>
      <c r="D1018">
        <v>0</v>
      </c>
      <c r="E1018">
        <f t="shared" si="15"/>
        <v>0</v>
      </c>
    </row>
    <row r="1019" spans="1:5" x14ac:dyDescent="0.25">
      <c r="A1019">
        <v>3417</v>
      </c>
      <c r="B1019" s="1">
        <v>2.3729166666666668</v>
      </c>
      <c r="C1019">
        <v>0</v>
      </c>
      <c r="D1019">
        <v>0</v>
      </c>
      <c r="E1019">
        <f t="shared" si="15"/>
        <v>0</v>
      </c>
    </row>
    <row r="1020" spans="1:5" x14ac:dyDescent="0.25">
      <c r="A1020">
        <v>3418</v>
      </c>
      <c r="B1020" s="1">
        <v>2.3736111111111109</v>
      </c>
      <c r="C1020">
        <v>0</v>
      </c>
      <c r="D1020">
        <v>0</v>
      </c>
      <c r="E1020">
        <f t="shared" si="15"/>
        <v>0</v>
      </c>
    </row>
    <row r="1021" spans="1:5" x14ac:dyDescent="0.25">
      <c r="A1021">
        <v>3419</v>
      </c>
      <c r="B1021" s="1">
        <v>2.3743055555555554</v>
      </c>
      <c r="C1021">
        <v>0</v>
      </c>
      <c r="D1021">
        <v>0</v>
      </c>
      <c r="E1021">
        <f t="shared" si="15"/>
        <v>0</v>
      </c>
    </row>
    <row r="1022" spans="1:5" x14ac:dyDescent="0.25">
      <c r="A1022">
        <v>3420</v>
      </c>
      <c r="B1022" s="1">
        <v>2.375</v>
      </c>
      <c r="C1022">
        <v>0</v>
      </c>
      <c r="D1022">
        <v>0</v>
      </c>
      <c r="E1022">
        <f t="shared" si="15"/>
        <v>0</v>
      </c>
    </row>
    <row r="1023" spans="1:5" x14ac:dyDescent="0.25">
      <c r="A1023">
        <v>3421</v>
      </c>
      <c r="B1023" s="1">
        <v>2.3756944444444446</v>
      </c>
      <c r="C1023">
        <v>0</v>
      </c>
      <c r="D1023">
        <v>0</v>
      </c>
      <c r="E1023">
        <f t="shared" si="15"/>
        <v>0</v>
      </c>
    </row>
    <row r="1024" spans="1:5" x14ac:dyDescent="0.25">
      <c r="A1024">
        <v>3422</v>
      </c>
      <c r="B1024" s="1">
        <v>2.3763888888888891</v>
      </c>
      <c r="C1024">
        <v>0</v>
      </c>
      <c r="D1024">
        <v>0</v>
      </c>
      <c r="E1024">
        <f t="shared" si="15"/>
        <v>0</v>
      </c>
    </row>
    <row r="1025" spans="1:5" x14ac:dyDescent="0.25">
      <c r="A1025">
        <v>3423</v>
      </c>
      <c r="B1025" s="1">
        <v>2.3770833333333332</v>
      </c>
      <c r="C1025">
        <v>0</v>
      </c>
      <c r="D1025">
        <v>0</v>
      </c>
      <c r="E1025">
        <f t="shared" si="15"/>
        <v>0</v>
      </c>
    </row>
    <row r="1026" spans="1:5" x14ac:dyDescent="0.25">
      <c r="A1026">
        <v>3424</v>
      </c>
      <c r="B1026" s="1">
        <v>2.3777777777777778</v>
      </c>
      <c r="C1026">
        <v>0</v>
      </c>
      <c r="D1026">
        <v>0</v>
      </c>
      <c r="E1026">
        <f t="shared" si="15"/>
        <v>0</v>
      </c>
    </row>
    <row r="1027" spans="1:5" x14ac:dyDescent="0.25">
      <c r="A1027">
        <v>3425</v>
      </c>
      <c r="B1027" s="1">
        <v>2.3784722222222223</v>
      </c>
      <c r="C1027">
        <v>0</v>
      </c>
      <c r="D1027">
        <v>0</v>
      </c>
      <c r="E1027">
        <f t="shared" ref="E1027:E1090" si="16">D1027*$H$3</f>
        <v>0</v>
      </c>
    </row>
    <row r="1028" spans="1:5" x14ac:dyDescent="0.25">
      <c r="A1028">
        <v>3426</v>
      </c>
      <c r="B1028" s="1">
        <v>2.3791666666666669</v>
      </c>
      <c r="C1028">
        <v>0</v>
      </c>
      <c r="D1028">
        <v>0</v>
      </c>
      <c r="E1028">
        <f t="shared" si="16"/>
        <v>0</v>
      </c>
    </row>
    <row r="1029" spans="1:5" x14ac:dyDescent="0.25">
      <c r="A1029">
        <v>3427</v>
      </c>
      <c r="B1029" s="1">
        <v>2.379861111111111</v>
      </c>
      <c r="C1029">
        <v>0</v>
      </c>
      <c r="D1029">
        <v>0</v>
      </c>
      <c r="E1029">
        <f t="shared" si="16"/>
        <v>0</v>
      </c>
    </row>
    <row r="1030" spans="1:5" x14ac:dyDescent="0.25">
      <c r="A1030">
        <v>3428</v>
      </c>
      <c r="B1030" s="1">
        <v>2.3805555555555555</v>
      </c>
      <c r="C1030">
        <v>0</v>
      </c>
      <c r="D1030">
        <v>0</v>
      </c>
      <c r="E1030">
        <f t="shared" si="16"/>
        <v>0</v>
      </c>
    </row>
    <row r="1031" spans="1:5" x14ac:dyDescent="0.25">
      <c r="A1031">
        <v>3429</v>
      </c>
      <c r="B1031" s="1">
        <v>2.3812500000000001</v>
      </c>
      <c r="C1031">
        <v>0</v>
      </c>
      <c r="D1031">
        <v>0</v>
      </c>
      <c r="E1031">
        <f t="shared" si="16"/>
        <v>0</v>
      </c>
    </row>
    <row r="1032" spans="1:5" x14ac:dyDescent="0.25">
      <c r="A1032">
        <v>3430</v>
      </c>
      <c r="B1032" s="1">
        <v>2.3819444444444446</v>
      </c>
      <c r="C1032">
        <v>0</v>
      </c>
      <c r="D1032">
        <v>0</v>
      </c>
      <c r="E1032">
        <f t="shared" si="16"/>
        <v>0</v>
      </c>
    </row>
    <row r="1033" spans="1:5" x14ac:dyDescent="0.25">
      <c r="A1033">
        <v>3431</v>
      </c>
      <c r="B1033" s="1">
        <v>2.3826388888888888</v>
      </c>
      <c r="C1033">
        <v>0</v>
      </c>
      <c r="D1033">
        <v>0</v>
      </c>
      <c r="E1033">
        <f t="shared" si="16"/>
        <v>0</v>
      </c>
    </row>
    <row r="1034" spans="1:5" x14ac:dyDescent="0.25">
      <c r="A1034">
        <v>3432</v>
      </c>
      <c r="B1034" s="1">
        <v>2.3833333333333333</v>
      </c>
      <c r="C1034">
        <v>0</v>
      </c>
      <c r="D1034">
        <v>0</v>
      </c>
      <c r="E1034">
        <f t="shared" si="16"/>
        <v>0</v>
      </c>
    </row>
    <row r="1035" spans="1:5" x14ac:dyDescent="0.25">
      <c r="A1035">
        <v>3433</v>
      </c>
      <c r="B1035" s="1">
        <v>2.3840277777777779</v>
      </c>
      <c r="C1035">
        <v>0</v>
      </c>
      <c r="D1035">
        <v>0</v>
      </c>
      <c r="E1035">
        <f t="shared" si="16"/>
        <v>0</v>
      </c>
    </row>
    <row r="1036" spans="1:5" x14ac:dyDescent="0.25">
      <c r="A1036">
        <v>3434</v>
      </c>
      <c r="B1036" s="1">
        <v>2.3847222222222224</v>
      </c>
      <c r="C1036">
        <v>0</v>
      </c>
      <c r="D1036">
        <v>0</v>
      </c>
      <c r="E1036">
        <f t="shared" si="16"/>
        <v>0</v>
      </c>
    </row>
    <row r="1037" spans="1:5" x14ac:dyDescent="0.25">
      <c r="A1037">
        <v>3435</v>
      </c>
      <c r="B1037" s="1">
        <v>2.3854166666666665</v>
      </c>
      <c r="C1037">
        <v>0</v>
      </c>
      <c r="D1037">
        <v>0</v>
      </c>
      <c r="E1037">
        <f t="shared" si="16"/>
        <v>0</v>
      </c>
    </row>
    <row r="1038" spans="1:5" x14ac:dyDescent="0.25">
      <c r="A1038">
        <v>3436</v>
      </c>
      <c r="B1038" s="1">
        <v>2.3861111111111111</v>
      </c>
      <c r="C1038">
        <v>0</v>
      </c>
      <c r="D1038">
        <v>0</v>
      </c>
      <c r="E1038">
        <f t="shared" si="16"/>
        <v>0</v>
      </c>
    </row>
    <row r="1039" spans="1:5" x14ac:dyDescent="0.25">
      <c r="A1039">
        <v>3437</v>
      </c>
      <c r="B1039" s="1">
        <v>2.3868055555555556</v>
      </c>
      <c r="C1039">
        <v>0</v>
      </c>
      <c r="D1039">
        <v>0</v>
      </c>
      <c r="E1039">
        <f t="shared" si="16"/>
        <v>0</v>
      </c>
    </row>
    <row r="1040" spans="1:5" x14ac:dyDescent="0.25">
      <c r="A1040">
        <v>3438</v>
      </c>
      <c r="B1040" s="1">
        <v>2.3875000000000002</v>
      </c>
      <c r="C1040">
        <v>0</v>
      </c>
      <c r="D1040">
        <v>0</v>
      </c>
      <c r="E1040">
        <f t="shared" si="16"/>
        <v>0</v>
      </c>
    </row>
    <row r="1041" spans="1:5" x14ac:dyDescent="0.25">
      <c r="A1041">
        <v>3439</v>
      </c>
      <c r="B1041" s="1">
        <v>2.3881944444444443</v>
      </c>
      <c r="C1041">
        <v>0</v>
      </c>
      <c r="D1041">
        <v>0</v>
      </c>
      <c r="E1041">
        <f t="shared" si="16"/>
        <v>0</v>
      </c>
    </row>
    <row r="1042" spans="1:5" x14ac:dyDescent="0.25">
      <c r="A1042">
        <v>3440</v>
      </c>
      <c r="B1042" s="1">
        <v>2.3888888888888888</v>
      </c>
      <c r="C1042">
        <v>0</v>
      </c>
      <c r="D1042">
        <v>0</v>
      </c>
      <c r="E1042">
        <f t="shared" si="16"/>
        <v>0</v>
      </c>
    </row>
    <row r="1043" spans="1:5" x14ac:dyDescent="0.25">
      <c r="A1043">
        <v>3441</v>
      </c>
      <c r="B1043" s="1">
        <v>2.3895833333333334</v>
      </c>
      <c r="C1043">
        <v>0</v>
      </c>
      <c r="D1043">
        <v>0</v>
      </c>
      <c r="E1043">
        <f t="shared" si="16"/>
        <v>0</v>
      </c>
    </row>
    <row r="1044" spans="1:5" x14ac:dyDescent="0.25">
      <c r="A1044">
        <v>3442</v>
      </c>
      <c r="B1044" s="1">
        <v>2.3902777777777779</v>
      </c>
      <c r="C1044">
        <v>0</v>
      </c>
      <c r="D1044">
        <v>0</v>
      </c>
      <c r="E1044">
        <f t="shared" si="16"/>
        <v>0</v>
      </c>
    </row>
    <row r="1045" spans="1:5" x14ac:dyDescent="0.25">
      <c r="A1045">
        <v>3443</v>
      </c>
      <c r="B1045" s="1">
        <v>2.3909722222222221</v>
      </c>
      <c r="C1045">
        <v>0</v>
      </c>
      <c r="D1045">
        <v>0</v>
      </c>
      <c r="E1045">
        <f t="shared" si="16"/>
        <v>0</v>
      </c>
    </row>
    <row r="1046" spans="1:5" x14ac:dyDescent="0.25">
      <c r="A1046">
        <v>3444</v>
      </c>
      <c r="B1046" s="1">
        <v>2.3916666666666666</v>
      </c>
      <c r="C1046">
        <v>0</v>
      </c>
      <c r="D1046">
        <v>0</v>
      </c>
      <c r="E1046">
        <f t="shared" si="16"/>
        <v>0</v>
      </c>
    </row>
    <row r="1047" spans="1:5" x14ac:dyDescent="0.25">
      <c r="A1047">
        <v>3445</v>
      </c>
      <c r="B1047" s="1">
        <v>2.3923611111111112</v>
      </c>
      <c r="C1047">
        <v>0</v>
      </c>
      <c r="D1047">
        <v>0</v>
      </c>
      <c r="E1047">
        <f t="shared" si="16"/>
        <v>0</v>
      </c>
    </row>
    <row r="1048" spans="1:5" x14ac:dyDescent="0.25">
      <c r="A1048">
        <v>3446</v>
      </c>
      <c r="B1048" s="1">
        <v>2.3930555555555557</v>
      </c>
      <c r="C1048">
        <v>0</v>
      </c>
      <c r="D1048">
        <v>0</v>
      </c>
      <c r="E1048">
        <f t="shared" si="16"/>
        <v>0</v>
      </c>
    </row>
    <row r="1049" spans="1:5" x14ac:dyDescent="0.25">
      <c r="A1049">
        <v>3447</v>
      </c>
      <c r="B1049" s="1">
        <v>2.3937499999999998</v>
      </c>
      <c r="C1049">
        <v>0</v>
      </c>
      <c r="D1049">
        <v>0</v>
      </c>
      <c r="E1049">
        <f t="shared" si="16"/>
        <v>0</v>
      </c>
    </row>
    <row r="1050" spans="1:5" x14ac:dyDescent="0.25">
      <c r="A1050">
        <v>3448</v>
      </c>
      <c r="B1050" s="1">
        <v>2.3944444444444444</v>
      </c>
      <c r="C1050">
        <v>0</v>
      </c>
      <c r="D1050">
        <v>0</v>
      </c>
      <c r="E1050">
        <f t="shared" si="16"/>
        <v>0</v>
      </c>
    </row>
    <row r="1051" spans="1:5" x14ac:dyDescent="0.25">
      <c r="A1051">
        <v>3449</v>
      </c>
      <c r="B1051" s="1">
        <v>2.3951388888888889</v>
      </c>
      <c r="C1051">
        <v>0</v>
      </c>
      <c r="D1051">
        <v>0</v>
      </c>
      <c r="E1051">
        <f t="shared" si="16"/>
        <v>0</v>
      </c>
    </row>
    <row r="1052" spans="1:5" x14ac:dyDescent="0.25">
      <c r="A1052">
        <v>3450</v>
      </c>
      <c r="B1052" s="1">
        <v>2.3958333333333335</v>
      </c>
      <c r="C1052">
        <v>0</v>
      </c>
      <c r="D1052">
        <v>0</v>
      </c>
      <c r="E1052">
        <f t="shared" si="16"/>
        <v>0</v>
      </c>
    </row>
    <row r="1053" spans="1:5" x14ac:dyDescent="0.25">
      <c r="A1053">
        <v>3451</v>
      </c>
      <c r="B1053" s="1">
        <v>2.3965277777777776</v>
      </c>
      <c r="C1053">
        <v>0</v>
      </c>
      <c r="D1053">
        <v>0</v>
      </c>
      <c r="E1053">
        <f t="shared" si="16"/>
        <v>0</v>
      </c>
    </row>
    <row r="1054" spans="1:5" x14ac:dyDescent="0.25">
      <c r="A1054">
        <v>3452</v>
      </c>
      <c r="B1054" s="1">
        <v>2.3972222222222221</v>
      </c>
      <c r="C1054">
        <v>0</v>
      </c>
      <c r="D1054">
        <v>0</v>
      </c>
      <c r="E1054">
        <f t="shared" si="16"/>
        <v>0</v>
      </c>
    </row>
    <row r="1055" spans="1:5" x14ac:dyDescent="0.25">
      <c r="A1055">
        <v>3453</v>
      </c>
      <c r="B1055" s="1">
        <v>2.3979166666666667</v>
      </c>
      <c r="C1055">
        <v>0</v>
      </c>
      <c r="D1055">
        <v>0</v>
      </c>
      <c r="E1055">
        <f t="shared" si="16"/>
        <v>0</v>
      </c>
    </row>
    <row r="1056" spans="1:5" x14ac:dyDescent="0.25">
      <c r="A1056">
        <v>3454</v>
      </c>
      <c r="B1056" s="1">
        <v>2.3986111111111112</v>
      </c>
      <c r="C1056">
        <v>0</v>
      </c>
      <c r="D1056">
        <v>0</v>
      </c>
      <c r="E1056">
        <f t="shared" si="16"/>
        <v>0</v>
      </c>
    </row>
    <row r="1057" spans="1:5" x14ac:dyDescent="0.25">
      <c r="A1057">
        <v>3455</v>
      </c>
      <c r="B1057" s="1">
        <v>2.3993055555555554</v>
      </c>
      <c r="C1057">
        <v>0</v>
      </c>
      <c r="D1057">
        <v>0</v>
      </c>
      <c r="E1057">
        <f t="shared" si="16"/>
        <v>0</v>
      </c>
    </row>
    <row r="1058" spans="1:5" x14ac:dyDescent="0.25">
      <c r="A1058">
        <v>3456</v>
      </c>
      <c r="B1058" s="1">
        <v>2.4</v>
      </c>
      <c r="C1058">
        <v>0</v>
      </c>
      <c r="D1058">
        <v>0</v>
      </c>
      <c r="E1058">
        <f t="shared" si="16"/>
        <v>0</v>
      </c>
    </row>
    <row r="1059" spans="1:5" x14ac:dyDescent="0.25">
      <c r="A1059">
        <v>3457</v>
      </c>
      <c r="B1059" s="1">
        <v>2.4006944444444445</v>
      </c>
      <c r="C1059">
        <v>0</v>
      </c>
      <c r="D1059">
        <v>0</v>
      </c>
      <c r="E1059">
        <f t="shared" si="16"/>
        <v>0</v>
      </c>
    </row>
    <row r="1060" spans="1:5" x14ac:dyDescent="0.25">
      <c r="A1060">
        <v>3458</v>
      </c>
      <c r="B1060" s="1">
        <v>2.401388888888889</v>
      </c>
      <c r="C1060">
        <v>0</v>
      </c>
      <c r="D1060">
        <v>0</v>
      </c>
      <c r="E1060">
        <f t="shared" si="16"/>
        <v>0</v>
      </c>
    </row>
    <row r="1061" spans="1:5" x14ac:dyDescent="0.25">
      <c r="A1061">
        <v>3459</v>
      </c>
      <c r="B1061" s="1">
        <v>2.4020833333333331</v>
      </c>
      <c r="C1061">
        <v>0</v>
      </c>
      <c r="D1061">
        <v>0</v>
      </c>
      <c r="E1061">
        <f t="shared" si="16"/>
        <v>0</v>
      </c>
    </row>
    <row r="1062" spans="1:5" x14ac:dyDescent="0.25">
      <c r="A1062">
        <v>3460</v>
      </c>
      <c r="B1062" s="1">
        <v>2.4027777777777777</v>
      </c>
      <c r="C1062">
        <v>0</v>
      </c>
      <c r="D1062">
        <v>0</v>
      </c>
      <c r="E1062">
        <f t="shared" si="16"/>
        <v>0</v>
      </c>
    </row>
    <row r="1063" spans="1:5" x14ac:dyDescent="0.25">
      <c r="A1063">
        <v>3461</v>
      </c>
      <c r="B1063" s="1">
        <v>2.4034722222222222</v>
      </c>
      <c r="C1063">
        <v>0</v>
      </c>
      <c r="D1063">
        <v>0</v>
      </c>
      <c r="E1063">
        <f t="shared" si="16"/>
        <v>0</v>
      </c>
    </row>
    <row r="1064" spans="1:5" x14ac:dyDescent="0.25">
      <c r="A1064">
        <v>3462</v>
      </c>
      <c r="B1064" s="1">
        <v>2.4041666666666668</v>
      </c>
      <c r="C1064">
        <v>0</v>
      </c>
      <c r="D1064">
        <v>0</v>
      </c>
      <c r="E1064">
        <f t="shared" si="16"/>
        <v>0</v>
      </c>
    </row>
    <row r="1065" spans="1:5" x14ac:dyDescent="0.25">
      <c r="A1065">
        <v>3463</v>
      </c>
      <c r="B1065" s="1">
        <v>2.4048611111111109</v>
      </c>
      <c r="C1065">
        <v>0</v>
      </c>
      <c r="D1065">
        <v>0</v>
      </c>
      <c r="E1065">
        <f t="shared" si="16"/>
        <v>0</v>
      </c>
    </row>
    <row r="1066" spans="1:5" x14ac:dyDescent="0.25">
      <c r="A1066">
        <v>3464</v>
      </c>
      <c r="B1066" s="1">
        <v>2.4055555555555554</v>
      </c>
      <c r="C1066">
        <v>0</v>
      </c>
      <c r="D1066">
        <v>0</v>
      </c>
      <c r="E1066">
        <f t="shared" si="16"/>
        <v>0</v>
      </c>
    </row>
    <row r="1067" spans="1:5" x14ac:dyDescent="0.25">
      <c r="A1067">
        <v>3465</v>
      </c>
      <c r="B1067" s="1">
        <v>2.40625</v>
      </c>
      <c r="C1067">
        <v>0</v>
      </c>
      <c r="D1067">
        <v>0</v>
      </c>
      <c r="E1067">
        <f t="shared" si="16"/>
        <v>0</v>
      </c>
    </row>
    <row r="1068" spans="1:5" x14ac:dyDescent="0.25">
      <c r="A1068">
        <v>3466</v>
      </c>
      <c r="B1068" s="1">
        <v>2.4069444444444446</v>
      </c>
      <c r="C1068">
        <v>0</v>
      </c>
      <c r="D1068">
        <v>0</v>
      </c>
      <c r="E1068">
        <f t="shared" si="16"/>
        <v>0</v>
      </c>
    </row>
    <row r="1069" spans="1:5" x14ac:dyDescent="0.25">
      <c r="A1069">
        <v>3467</v>
      </c>
      <c r="B1069" s="1">
        <v>2.4076388888888891</v>
      </c>
      <c r="C1069">
        <v>0</v>
      </c>
      <c r="D1069">
        <v>0</v>
      </c>
      <c r="E1069">
        <f t="shared" si="16"/>
        <v>0</v>
      </c>
    </row>
    <row r="1070" spans="1:5" x14ac:dyDescent="0.25">
      <c r="A1070">
        <v>3468</v>
      </c>
      <c r="B1070" s="1">
        <v>2.4083333333333332</v>
      </c>
      <c r="C1070">
        <v>0</v>
      </c>
      <c r="D1070">
        <v>0</v>
      </c>
      <c r="E1070">
        <f t="shared" si="16"/>
        <v>0</v>
      </c>
    </row>
    <row r="1071" spans="1:5" x14ac:dyDescent="0.25">
      <c r="A1071">
        <v>3469</v>
      </c>
      <c r="B1071" s="1">
        <v>2.4090277777777778</v>
      </c>
      <c r="C1071">
        <v>0</v>
      </c>
      <c r="D1071">
        <v>0</v>
      </c>
      <c r="E1071">
        <f t="shared" si="16"/>
        <v>0</v>
      </c>
    </row>
    <row r="1072" spans="1:5" x14ac:dyDescent="0.25">
      <c r="A1072">
        <v>3470</v>
      </c>
      <c r="B1072" s="1">
        <v>2.4097222222222223</v>
      </c>
      <c r="C1072">
        <v>0</v>
      </c>
      <c r="D1072">
        <v>0</v>
      </c>
      <c r="E1072">
        <f t="shared" si="16"/>
        <v>0</v>
      </c>
    </row>
    <row r="1073" spans="1:5" x14ac:dyDescent="0.25">
      <c r="A1073">
        <v>3471</v>
      </c>
      <c r="B1073" s="1">
        <v>2.4104166666666669</v>
      </c>
      <c r="C1073">
        <v>0</v>
      </c>
      <c r="D1073">
        <v>0</v>
      </c>
      <c r="E1073">
        <f t="shared" si="16"/>
        <v>0</v>
      </c>
    </row>
    <row r="1074" spans="1:5" x14ac:dyDescent="0.25">
      <c r="A1074">
        <v>3472</v>
      </c>
      <c r="B1074" s="1">
        <v>2.411111111111111</v>
      </c>
      <c r="C1074">
        <v>0</v>
      </c>
      <c r="D1074">
        <v>0</v>
      </c>
      <c r="E1074">
        <f t="shared" si="16"/>
        <v>0</v>
      </c>
    </row>
    <row r="1075" spans="1:5" x14ac:dyDescent="0.25">
      <c r="A1075">
        <v>3473</v>
      </c>
      <c r="B1075" s="1">
        <v>2.4118055555555555</v>
      </c>
      <c r="C1075">
        <v>0</v>
      </c>
      <c r="D1075">
        <v>0</v>
      </c>
      <c r="E1075">
        <f t="shared" si="16"/>
        <v>0</v>
      </c>
    </row>
    <row r="1076" spans="1:5" x14ac:dyDescent="0.25">
      <c r="A1076">
        <v>3474</v>
      </c>
      <c r="B1076" s="1">
        <v>2.4125000000000001</v>
      </c>
      <c r="C1076">
        <v>0</v>
      </c>
      <c r="D1076">
        <v>0</v>
      </c>
      <c r="E1076">
        <f t="shared" si="16"/>
        <v>0</v>
      </c>
    </row>
    <row r="1077" spans="1:5" x14ac:dyDescent="0.25">
      <c r="A1077">
        <v>3475</v>
      </c>
      <c r="B1077" s="1">
        <v>2.4131944444444446</v>
      </c>
      <c r="C1077">
        <v>0</v>
      </c>
      <c r="D1077">
        <v>0</v>
      </c>
      <c r="E1077">
        <f t="shared" si="16"/>
        <v>0</v>
      </c>
    </row>
    <row r="1078" spans="1:5" x14ac:dyDescent="0.25">
      <c r="A1078">
        <v>3476</v>
      </c>
      <c r="B1078" s="1">
        <v>2.4138888888888888</v>
      </c>
      <c r="C1078">
        <v>0</v>
      </c>
      <c r="D1078">
        <v>0</v>
      </c>
      <c r="E1078">
        <f t="shared" si="16"/>
        <v>0</v>
      </c>
    </row>
    <row r="1079" spans="1:5" x14ac:dyDescent="0.25">
      <c r="A1079">
        <v>3477</v>
      </c>
      <c r="B1079" s="1">
        <v>2.4145833333333333</v>
      </c>
      <c r="C1079">
        <v>0</v>
      </c>
      <c r="D1079">
        <v>0</v>
      </c>
      <c r="E1079">
        <f t="shared" si="16"/>
        <v>0</v>
      </c>
    </row>
    <row r="1080" spans="1:5" x14ac:dyDescent="0.25">
      <c r="A1080">
        <v>3478</v>
      </c>
      <c r="B1080" s="1">
        <v>2.4152777777777779</v>
      </c>
      <c r="C1080">
        <v>0</v>
      </c>
      <c r="D1080">
        <v>0</v>
      </c>
      <c r="E1080">
        <f t="shared" si="16"/>
        <v>0</v>
      </c>
    </row>
    <row r="1081" spans="1:5" x14ac:dyDescent="0.25">
      <c r="A1081">
        <v>3479</v>
      </c>
      <c r="B1081" s="1">
        <v>2.4159722222222224</v>
      </c>
      <c r="C1081">
        <v>0</v>
      </c>
      <c r="D1081">
        <v>0</v>
      </c>
      <c r="E1081">
        <f t="shared" si="16"/>
        <v>0</v>
      </c>
    </row>
    <row r="1082" spans="1:5" x14ac:dyDescent="0.25">
      <c r="A1082">
        <v>3480</v>
      </c>
      <c r="B1082" s="1">
        <v>2.4166666666666665</v>
      </c>
      <c r="C1082">
        <v>0</v>
      </c>
      <c r="D1082">
        <v>0</v>
      </c>
      <c r="E1082">
        <f t="shared" si="16"/>
        <v>0</v>
      </c>
    </row>
    <row r="1083" spans="1:5" x14ac:dyDescent="0.25">
      <c r="A1083">
        <v>3481</v>
      </c>
      <c r="B1083" s="1">
        <v>2.4173611111111111</v>
      </c>
      <c r="C1083">
        <v>0</v>
      </c>
      <c r="D1083">
        <v>0</v>
      </c>
      <c r="E1083">
        <f t="shared" si="16"/>
        <v>0</v>
      </c>
    </row>
    <row r="1084" spans="1:5" x14ac:dyDescent="0.25">
      <c r="A1084">
        <v>3482</v>
      </c>
      <c r="B1084" s="1">
        <v>2.4180555555555556</v>
      </c>
      <c r="C1084">
        <v>0</v>
      </c>
      <c r="D1084">
        <v>0</v>
      </c>
      <c r="E1084">
        <f t="shared" si="16"/>
        <v>0</v>
      </c>
    </row>
    <row r="1085" spans="1:5" x14ac:dyDescent="0.25">
      <c r="A1085">
        <v>3483</v>
      </c>
      <c r="B1085" s="1">
        <v>2.4187500000000002</v>
      </c>
      <c r="C1085">
        <v>0</v>
      </c>
      <c r="D1085">
        <v>0</v>
      </c>
      <c r="E1085">
        <f t="shared" si="16"/>
        <v>0</v>
      </c>
    </row>
    <row r="1086" spans="1:5" x14ac:dyDescent="0.25">
      <c r="A1086">
        <v>3484</v>
      </c>
      <c r="B1086" s="1">
        <v>2.4194444444444443</v>
      </c>
      <c r="C1086">
        <v>0</v>
      </c>
      <c r="D1086">
        <v>0</v>
      </c>
      <c r="E1086">
        <f t="shared" si="16"/>
        <v>0</v>
      </c>
    </row>
    <row r="1087" spans="1:5" x14ac:dyDescent="0.25">
      <c r="A1087">
        <v>3485</v>
      </c>
      <c r="B1087" s="1">
        <v>2.4201388888888888</v>
      </c>
      <c r="C1087">
        <v>0</v>
      </c>
      <c r="D1087">
        <v>0</v>
      </c>
      <c r="E1087">
        <f t="shared" si="16"/>
        <v>0</v>
      </c>
    </row>
    <row r="1088" spans="1:5" x14ac:dyDescent="0.25">
      <c r="A1088">
        <v>3486</v>
      </c>
      <c r="B1088" s="1">
        <v>2.4208333333333334</v>
      </c>
      <c r="C1088">
        <v>0</v>
      </c>
      <c r="D1088">
        <v>0</v>
      </c>
      <c r="E1088">
        <f t="shared" si="16"/>
        <v>0</v>
      </c>
    </row>
    <row r="1089" spans="1:5" x14ac:dyDescent="0.25">
      <c r="A1089">
        <v>3487</v>
      </c>
      <c r="B1089" s="1">
        <v>2.4215277777777779</v>
      </c>
      <c r="C1089">
        <v>0</v>
      </c>
      <c r="D1089">
        <v>0</v>
      </c>
      <c r="E1089">
        <f t="shared" si="16"/>
        <v>0</v>
      </c>
    </row>
    <row r="1090" spans="1:5" x14ac:dyDescent="0.25">
      <c r="A1090">
        <v>3488</v>
      </c>
      <c r="B1090" s="1">
        <v>2.4222222222222221</v>
      </c>
      <c r="C1090">
        <v>0</v>
      </c>
      <c r="D1090">
        <v>0</v>
      </c>
      <c r="E1090">
        <f t="shared" si="16"/>
        <v>0</v>
      </c>
    </row>
    <row r="1091" spans="1:5" x14ac:dyDescent="0.25">
      <c r="A1091">
        <v>3489</v>
      </c>
      <c r="B1091" s="1">
        <v>2.4229166666666666</v>
      </c>
      <c r="C1091">
        <v>0</v>
      </c>
      <c r="D1091">
        <v>0</v>
      </c>
      <c r="E1091">
        <f t="shared" ref="E1091:E1154" si="17">D1091*$H$3</f>
        <v>0</v>
      </c>
    </row>
    <row r="1092" spans="1:5" x14ac:dyDescent="0.25">
      <c r="A1092">
        <v>3490</v>
      </c>
      <c r="B1092" s="1">
        <v>2.4236111111111112</v>
      </c>
      <c r="C1092">
        <v>0</v>
      </c>
      <c r="D1092">
        <v>0</v>
      </c>
      <c r="E1092">
        <f t="shared" si="17"/>
        <v>0</v>
      </c>
    </row>
    <row r="1093" spans="1:5" x14ac:dyDescent="0.25">
      <c r="A1093">
        <v>3491</v>
      </c>
      <c r="B1093" s="1">
        <v>2.4243055555555557</v>
      </c>
      <c r="C1093">
        <v>0</v>
      </c>
      <c r="D1093">
        <v>0</v>
      </c>
      <c r="E1093">
        <f t="shared" si="17"/>
        <v>0</v>
      </c>
    </row>
    <row r="1094" spans="1:5" x14ac:dyDescent="0.25">
      <c r="A1094">
        <v>3492</v>
      </c>
      <c r="B1094" s="1">
        <v>2.4249999999999998</v>
      </c>
      <c r="C1094">
        <v>0</v>
      </c>
      <c r="D1094">
        <v>0</v>
      </c>
      <c r="E1094">
        <f t="shared" si="17"/>
        <v>0</v>
      </c>
    </row>
    <row r="1095" spans="1:5" x14ac:dyDescent="0.25">
      <c r="A1095">
        <v>3493</v>
      </c>
      <c r="B1095" s="1">
        <v>2.4256944444444444</v>
      </c>
      <c r="C1095">
        <v>0</v>
      </c>
      <c r="D1095">
        <v>0</v>
      </c>
      <c r="E1095">
        <f t="shared" si="17"/>
        <v>0</v>
      </c>
    </row>
    <row r="1096" spans="1:5" x14ac:dyDescent="0.25">
      <c r="A1096">
        <v>3494</v>
      </c>
      <c r="B1096" s="1">
        <v>2.4263888888888889</v>
      </c>
      <c r="C1096">
        <v>0</v>
      </c>
      <c r="D1096">
        <v>0</v>
      </c>
      <c r="E1096">
        <f t="shared" si="17"/>
        <v>0</v>
      </c>
    </row>
    <row r="1097" spans="1:5" x14ac:dyDescent="0.25">
      <c r="A1097">
        <v>3495</v>
      </c>
      <c r="B1097" s="1">
        <v>2.4270833333333335</v>
      </c>
      <c r="C1097">
        <v>0</v>
      </c>
      <c r="D1097">
        <v>0</v>
      </c>
      <c r="E1097">
        <f t="shared" si="17"/>
        <v>0</v>
      </c>
    </row>
    <row r="1098" spans="1:5" x14ac:dyDescent="0.25">
      <c r="A1098">
        <v>3496</v>
      </c>
      <c r="B1098" s="1">
        <v>2.4277777777777776</v>
      </c>
      <c r="C1098">
        <v>0</v>
      </c>
      <c r="D1098">
        <v>0</v>
      </c>
      <c r="E1098">
        <f t="shared" si="17"/>
        <v>0</v>
      </c>
    </row>
    <row r="1099" spans="1:5" x14ac:dyDescent="0.25">
      <c r="A1099">
        <v>3497</v>
      </c>
      <c r="B1099" s="1">
        <v>2.4284722222222221</v>
      </c>
      <c r="C1099">
        <v>0</v>
      </c>
      <c r="D1099">
        <v>0</v>
      </c>
      <c r="E1099">
        <f t="shared" si="17"/>
        <v>0</v>
      </c>
    </row>
    <row r="1100" spans="1:5" x14ac:dyDescent="0.25">
      <c r="A1100">
        <v>3498</v>
      </c>
      <c r="B1100" s="1">
        <v>2.4291666666666667</v>
      </c>
      <c r="C1100">
        <v>0</v>
      </c>
      <c r="D1100">
        <v>0</v>
      </c>
      <c r="E1100">
        <f t="shared" si="17"/>
        <v>0</v>
      </c>
    </row>
    <row r="1101" spans="1:5" x14ac:dyDescent="0.25">
      <c r="A1101">
        <v>3499</v>
      </c>
      <c r="B1101" s="1">
        <v>2.4298611111111112</v>
      </c>
      <c r="C1101">
        <v>0</v>
      </c>
      <c r="D1101">
        <v>0</v>
      </c>
      <c r="E1101">
        <f t="shared" si="17"/>
        <v>0</v>
      </c>
    </row>
    <row r="1102" spans="1:5" x14ac:dyDescent="0.25">
      <c r="A1102">
        <v>3500</v>
      </c>
      <c r="B1102" s="1">
        <v>2.4305555555555554</v>
      </c>
      <c r="C1102">
        <v>0</v>
      </c>
      <c r="D1102">
        <v>0</v>
      </c>
      <c r="E1102">
        <f t="shared" si="17"/>
        <v>0</v>
      </c>
    </row>
    <row r="1103" spans="1:5" x14ac:dyDescent="0.25">
      <c r="A1103">
        <v>3501</v>
      </c>
      <c r="B1103" s="1">
        <v>2.4312499999999999</v>
      </c>
      <c r="C1103">
        <v>0</v>
      </c>
      <c r="D1103">
        <v>0</v>
      </c>
      <c r="E1103">
        <f t="shared" si="17"/>
        <v>0</v>
      </c>
    </row>
    <row r="1104" spans="1:5" x14ac:dyDescent="0.25">
      <c r="A1104">
        <v>3502</v>
      </c>
      <c r="B1104" s="1">
        <v>2.4319444444444445</v>
      </c>
      <c r="C1104">
        <v>0</v>
      </c>
      <c r="D1104">
        <v>0</v>
      </c>
      <c r="E1104">
        <f t="shared" si="17"/>
        <v>0</v>
      </c>
    </row>
    <row r="1105" spans="1:5" x14ac:dyDescent="0.25">
      <c r="A1105">
        <v>3503</v>
      </c>
      <c r="B1105" s="1">
        <v>2.432638888888889</v>
      </c>
      <c r="C1105">
        <v>0</v>
      </c>
      <c r="D1105">
        <v>0</v>
      </c>
      <c r="E1105">
        <f t="shared" si="17"/>
        <v>0</v>
      </c>
    </row>
    <row r="1106" spans="1:5" x14ac:dyDescent="0.25">
      <c r="A1106">
        <v>3504</v>
      </c>
      <c r="B1106" s="1">
        <v>2.4333333333333331</v>
      </c>
      <c r="C1106">
        <v>0</v>
      </c>
      <c r="D1106">
        <v>0</v>
      </c>
      <c r="E1106">
        <f t="shared" si="17"/>
        <v>0</v>
      </c>
    </row>
    <row r="1107" spans="1:5" x14ac:dyDescent="0.25">
      <c r="A1107">
        <v>3505</v>
      </c>
      <c r="B1107" s="1">
        <v>2.4340277777777777</v>
      </c>
      <c r="C1107">
        <v>0</v>
      </c>
      <c r="D1107">
        <v>0</v>
      </c>
      <c r="E1107">
        <f t="shared" si="17"/>
        <v>0</v>
      </c>
    </row>
    <row r="1108" spans="1:5" x14ac:dyDescent="0.25">
      <c r="A1108">
        <v>3506</v>
      </c>
      <c r="B1108" s="1">
        <v>2.4347222222222222</v>
      </c>
      <c r="C1108">
        <v>0</v>
      </c>
      <c r="D1108">
        <v>0</v>
      </c>
      <c r="E1108">
        <f t="shared" si="17"/>
        <v>0</v>
      </c>
    </row>
    <row r="1109" spans="1:5" x14ac:dyDescent="0.25">
      <c r="A1109">
        <v>3507</v>
      </c>
      <c r="B1109" s="1">
        <v>2.4354166666666668</v>
      </c>
      <c r="C1109">
        <v>0</v>
      </c>
      <c r="D1109">
        <v>0</v>
      </c>
      <c r="E1109">
        <f t="shared" si="17"/>
        <v>0</v>
      </c>
    </row>
    <row r="1110" spans="1:5" x14ac:dyDescent="0.25">
      <c r="A1110">
        <v>3508</v>
      </c>
      <c r="B1110" s="1">
        <v>2.4361111111111109</v>
      </c>
      <c r="C1110">
        <v>0</v>
      </c>
      <c r="D1110">
        <v>0</v>
      </c>
      <c r="E1110">
        <f t="shared" si="17"/>
        <v>0</v>
      </c>
    </row>
    <row r="1111" spans="1:5" x14ac:dyDescent="0.25">
      <c r="A1111">
        <v>3509</v>
      </c>
      <c r="B1111" s="1">
        <v>2.4368055555555554</v>
      </c>
      <c r="C1111">
        <v>0</v>
      </c>
      <c r="D1111">
        <v>0</v>
      </c>
      <c r="E1111">
        <f t="shared" si="17"/>
        <v>0</v>
      </c>
    </row>
    <row r="1112" spans="1:5" x14ac:dyDescent="0.25">
      <c r="A1112">
        <v>3510</v>
      </c>
      <c r="B1112" s="1">
        <v>2.4375</v>
      </c>
      <c r="C1112">
        <v>0</v>
      </c>
      <c r="D1112">
        <v>0</v>
      </c>
      <c r="E1112">
        <f t="shared" si="17"/>
        <v>0</v>
      </c>
    </row>
    <row r="1113" spans="1:5" x14ac:dyDescent="0.25">
      <c r="A1113">
        <v>3511</v>
      </c>
      <c r="B1113" s="1">
        <v>2.4381944444444446</v>
      </c>
      <c r="C1113">
        <v>0</v>
      </c>
      <c r="D1113">
        <v>0</v>
      </c>
      <c r="E1113">
        <f t="shared" si="17"/>
        <v>0</v>
      </c>
    </row>
    <row r="1114" spans="1:5" x14ac:dyDescent="0.25">
      <c r="A1114">
        <v>3512</v>
      </c>
      <c r="B1114" s="1">
        <v>2.4388888888888891</v>
      </c>
      <c r="C1114">
        <v>0</v>
      </c>
      <c r="D1114">
        <v>0</v>
      </c>
      <c r="E1114">
        <f t="shared" si="17"/>
        <v>0</v>
      </c>
    </row>
    <row r="1115" spans="1:5" x14ac:dyDescent="0.25">
      <c r="A1115">
        <v>3513</v>
      </c>
      <c r="B1115" s="1">
        <v>2.4395833333333332</v>
      </c>
      <c r="C1115">
        <v>0</v>
      </c>
      <c r="D1115">
        <v>0</v>
      </c>
      <c r="E1115">
        <f t="shared" si="17"/>
        <v>0</v>
      </c>
    </row>
    <row r="1116" spans="1:5" x14ac:dyDescent="0.25">
      <c r="A1116">
        <v>3514</v>
      </c>
      <c r="B1116" s="1">
        <v>2.4402777777777778</v>
      </c>
      <c r="C1116">
        <v>0</v>
      </c>
      <c r="D1116">
        <v>0</v>
      </c>
      <c r="E1116">
        <f t="shared" si="17"/>
        <v>0</v>
      </c>
    </row>
    <row r="1117" spans="1:5" x14ac:dyDescent="0.25">
      <c r="A1117">
        <v>3515</v>
      </c>
      <c r="B1117" s="1">
        <v>2.4409722222222223</v>
      </c>
      <c r="C1117">
        <v>0</v>
      </c>
      <c r="D1117">
        <v>0</v>
      </c>
      <c r="E1117">
        <f t="shared" si="17"/>
        <v>0</v>
      </c>
    </row>
    <row r="1118" spans="1:5" x14ac:dyDescent="0.25">
      <c r="A1118">
        <v>3516</v>
      </c>
      <c r="B1118" s="1">
        <v>2.4416666666666669</v>
      </c>
      <c r="C1118">
        <v>0</v>
      </c>
      <c r="D1118">
        <v>0</v>
      </c>
      <c r="E1118">
        <f t="shared" si="17"/>
        <v>0</v>
      </c>
    </row>
    <row r="1119" spans="1:5" x14ac:dyDescent="0.25">
      <c r="A1119">
        <v>3517</v>
      </c>
      <c r="B1119" s="1">
        <v>2.442361111111111</v>
      </c>
      <c r="C1119">
        <v>0</v>
      </c>
      <c r="D1119">
        <v>0</v>
      </c>
      <c r="E1119">
        <f t="shared" si="17"/>
        <v>0</v>
      </c>
    </row>
    <row r="1120" spans="1:5" x14ac:dyDescent="0.25">
      <c r="A1120">
        <v>3518</v>
      </c>
      <c r="B1120" s="1">
        <v>2.4430555555555555</v>
      </c>
      <c r="C1120">
        <v>0</v>
      </c>
      <c r="D1120">
        <v>0</v>
      </c>
      <c r="E1120">
        <f t="shared" si="17"/>
        <v>0</v>
      </c>
    </row>
    <row r="1121" spans="1:5" x14ac:dyDescent="0.25">
      <c r="A1121">
        <v>3519</v>
      </c>
      <c r="B1121" s="1">
        <v>2.4437500000000001</v>
      </c>
      <c r="C1121">
        <v>0</v>
      </c>
      <c r="D1121">
        <v>0</v>
      </c>
      <c r="E1121">
        <f t="shared" si="17"/>
        <v>0</v>
      </c>
    </row>
    <row r="1122" spans="1:5" x14ac:dyDescent="0.25">
      <c r="A1122">
        <v>3520</v>
      </c>
      <c r="B1122" s="1">
        <v>2.4444444444444446</v>
      </c>
      <c r="C1122">
        <v>0</v>
      </c>
      <c r="D1122">
        <v>0</v>
      </c>
      <c r="E1122">
        <f t="shared" si="17"/>
        <v>0</v>
      </c>
    </row>
    <row r="1123" spans="1:5" x14ac:dyDescent="0.25">
      <c r="A1123">
        <v>3521</v>
      </c>
      <c r="B1123" s="1">
        <v>2.4451388888888888</v>
      </c>
      <c r="C1123">
        <v>0</v>
      </c>
      <c r="D1123">
        <v>0</v>
      </c>
      <c r="E1123">
        <f t="shared" si="17"/>
        <v>0</v>
      </c>
    </row>
    <row r="1124" spans="1:5" x14ac:dyDescent="0.25">
      <c r="A1124">
        <v>3522</v>
      </c>
      <c r="B1124" s="1">
        <v>2.4458333333333333</v>
      </c>
      <c r="C1124">
        <v>0</v>
      </c>
      <c r="D1124">
        <v>0</v>
      </c>
      <c r="E1124">
        <f t="shared" si="17"/>
        <v>0</v>
      </c>
    </row>
    <row r="1125" spans="1:5" x14ac:dyDescent="0.25">
      <c r="A1125">
        <v>3523</v>
      </c>
      <c r="B1125" s="1">
        <v>2.4465277777777779</v>
      </c>
      <c r="C1125">
        <v>0</v>
      </c>
      <c r="D1125">
        <v>0</v>
      </c>
      <c r="E1125">
        <f t="shared" si="17"/>
        <v>0</v>
      </c>
    </row>
    <row r="1126" spans="1:5" x14ac:dyDescent="0.25">
      <c r="A1126">
        <v>3524</v>
      </c>
      <c r="B1126" s="1">
        <v>2.4472222222222224</v>
      </c>
      <c r="C1126">
        <v>0</v>
      </c>
      <c r="D1126">
        <v>0</v>
      </c>
      <c r="E1126">
        <f t="shared" si="17"/>
        <v>0</v>
      </c>
    </row>
    <row r="1127" spans="1:5" x14ac:dyDescent="0.25">
      <c r="A1127">
        <v>3525</v>
      </c>
      <c r="B1127" s="1">
        <v>2.4479166666666665</v>
      </c>
      <c r="C1127">
        <v>0</v>
      </c>
      <c r="D1127">
        <v>0</v>
      </c>
      <c r="E1127">
        <f t="shared" si="17"/>
        <v>0</v>
      </c>
    </row>
    <row r="1128" spans="1:5" x14ac:dyDescent="0.25">
      <c r="A1128">
        <v>3526</v>
      </c>
      <c r="B1128" s="1">
        <v>2.4486111111111111</v>
      </c>
      <c r="C1128">
        <v>0</v>
      </c>
      <c r="D1128">
        <v>0</v>
      </c>
      <c r="E1128">
        <f t="shared" si="17"/>
        <v>0</v>
      </c>
    </row>
    <row r="1129" spans="1:5" x14ac:dyDescent="0.25">
      <c r="A1129">
        <v>3527</v>
      </c>
      <c r="B1129" s="1">
        <v>2.4493055555555556</v>
      </c>
      <c r="C1129">
        <v>0</v>
      </c>
      <c r="D1129">
        <v>0</v>
      </c>
      <c r="E1129">
        <f t="shared" si="17"/>
        <v>0</v>
      </c>
    </row>
    <row r="1130" spans="1:5" x14ac:dyDescent="0.25">
      <c r="A1130">
        <v>3528</v>
      </c>
      <c r="B1130" s="1">
        <v>2.4500000000000002</v>
      </c>
      <c r="C1130">
        <v>0</v>
      </c>
      <c r="D1130">
        <v>0</v>
      </c>
      <c r="E1130">
        <f t="shared" si="17"/>
        <v>0</v>
      </c>
    </row>
    <row r="1131" spans="1:5" x14ac:dyDescent="0.25">
      <c r="A1131">
        <v>3529</v>
      </c>
      <c r="B1131" s="1">
        <v>2.4506944444444443</v>
      </c>
      <c r="C1131">
        <v>0</v>
      </c>
      <c r="D1131">
        <v>0</v>
      </c>
      <c r="E1131">
        <f t="shared" si="17"/>
        <v>0</v>
      </c>
    </row>
    <row r="1132" spans="1:5" x14ac:dyDescent="0.25">
      <c r="A1132">
        <v>3530</v>
      </c>
      <c r="B1132" s="1">
        <v>2.4513888888888888</v>
      </c>
      <c r="C1132">
        <v>0</v>
      </c>
      <c r="D1132">
        <v>0</v>
      </c>
      <c r="E1132">
        <f t="shared" si="17"/>
        <v>0</v>
      </c>
    </row>
    <row r="1133" spans="1:5" x14ac:dyDescent="0.25">
      <c r="A1133">
        <v>3531</v>
      </c>
      <c r="B1133" s="1">
        <v>2.4520833333333334</v>
      </c>
      <c r="C1133">
        <v>0</v>
      </c>
      <c r="D1133">
        <v>0</v>
      </c>
      <c r="E1133">
        <f t="shared" si="17"/>
        <v>0</v>
      </c>
    </row>
    <row r="1134" spans="1:5" x14ac:dyDescent="0.25">
      <c r="A1134">
        <v>3532</v>
      </c>
      <c r="B1134" s="1">
        <v>2.4527777777777779</v>
      </c>
      <c r="C1134">
        <v>0</v>
      </c>
      <c r="D1134">
        <v>0</v>
      </c>
      <c r="E1134">
        <f t="shared" si="17"/>
        <v>0</v>
      </c>
    </row>
    <row r="1135" spans="1:5" x14ac:dyDescent="0.25">
      <c r="A1135">
        <v>3533</v>
      </c>
      <c r="B1135" s="1">
        <v>2.4534722222222221</v>
      </c>
      <c r="C1135">
        <v>0</v>
      </c>
      <c r="D1135">
        <v>0</v>
      </c>
      <c r="E1135">
        <f t="shared" si="17"/>
        <v>0</v>
      </c>
    </row>
    <row r="1136" spans="1:5" x14ac:dyDescent="0.25">
      <c r="A1136">
        <v>3534</v>
      </c>
      <c r="B1136" s="1">
        <v>2.4541666666666666</v>
      </c>
      <c r="C1136">
        <v>0</v>
      </c>
      <c r="D1136">
        <v>0</v>
      </c>
      <c r="E1136">
        <f t="shared" si="17"/>
        <v>0</v>
      </c>
    </row>
    <row r="1137" spans="1:5" x14ac:dyDescent="0.25">
      <c r="A1137">
        <v>3535</v>
      </c>
      <c r="B1137" s="1">
        <v>2.4548611111111112</v>
      </c>
      <c r="C1137">
        <v>0</v>
      </c>
      <c r="D1137">
        <v>0</v>
      </c>
      <c r="E1137">
        <f t="shared" si="17"/>
        <v>0</v>
      </c>
    </row>
    <row r="1138" spans="1:5" x14ac:dyDescent="0.25">
      <c r="A1138">
        <v>3536</v>
      </c>
      <c r="B1138" s="1">
        <v>2.4555555555555557</v>
      </c>
      <c r="C1138">
        <v>0</v>
      </c>
      <c r="D1138">
        <v>0</v>
      </c>
      <c r="E1138">
        <f t="shared" si="17"/>
        <v>0</v>
      </c>
    </row>
    <row r="1139" spans="1:5" x14ac:dyDescent="0.25">
      <c r="A1139">
        <v>3537</v>
      </c>
      <c r="B1139" s="1">
        <v>2.4562499999999998</v>
      </c>
      <c r="C1139">
        <v>0</v>
      </c>
      <c r="D1139">
        <v>0</v>
      </c>
      <c r="E1139">
        <f t="shared" si="17"/>
        <v>0</v>
      </c>
    </row>
    <row r="1140" spans="1:5" x14ac:dyDescent="0.25">
      <c r="A1140">
        <v>3538</v>
      </c>
      <c r="B1140" s="1">
        <v>2.4569444444444444</v>
      </c>
      <c r="C1140">
        <v>0</v>
      </c>
      <c r="D1140">
        <v>0</v>
      </c>
      <c r="E1140">
        <f t="shared" si="17"/>
        <v>0</v>
      </c>
    </row>
    <row r="1141" spans="1:5" x14ac:dyDescent="0.25">
      <c r="A1141">
        <v>3539</v>
      </c>
      <c r="B1141" s="1">
        <v>2.4576388888888889</v>
      </c>
      <c r="C1141">
        <v>0</v>
      </c>
      <c r="D1141">
        <v>0</v>
      </c>
      <c r="E1141">
        <f t="shared" si="17"/>
        <v>0</v>
      </c>
    </row>
    <row r="1142" spans="1:5" x14ac:dyDescent="0.25">
      <c r="A1142">
        <v>3540</v>
      </c>
      <c r="B1142" s="1">
        <v>2.4583333333333335</v>
      </c>
      <c r="C1142">
        <v>0</v>
      </c>
      <c r="D1142">
        <v>0</v>
      </c>
      <c r="E1142">
        <f t="shared" si="17"/>
        <v>0</v>
      </c>
    </row>
    <row r="1143" spans="1:5" x14ac:dyDescent="0.25">
      <c r="A1143">
        <v>3541</v>
      </c>
      <c r="B1143" s="1">
        <v>2.4590277777777776</v>
      </c>
      <c r="C1143">
        <v>0</v>
      </c>
      <c r="D1143">
        <v>0</v>
      </c>
      <c r="E1143">
        <f t="shared" si="17"/>
        <v>0</v>
      </c>
    </row>
    <row r="1144" spans="1:5" x14ac:dyDescent="0.25">
      <c r="A1144">
        <v>3542</v>
      </c>
      <c r="B1144" s="1">
        <v>2.4597222222222221</v>
      </c>
      <c r="C1144">
        <v>0</v>
      </c>
      <c r="D1144">
        <v>0</v>
      </c>
      <c r="E1144">
        <f t="shared" si="17"/>
        <v>0</v>
      </c>
    </row>
    <row r="1145" spans="1:5" x14ac:dyDescent="0.25">
      <c r="A1145">
        <v>3543</v>
      </c>
      <c r="B1145" s="1">
        <v>2.4604166666666667</v>
      </c>
      <c r="C1145">
        <v>0</v>
      </c>
      <c r="D1145">
        <v>0</v>
      </c>
      <c r="E1145">
        <f t="shared" si="17"/>
        <v>0</v>
      </c>
    </row>
    <row r="1146" spans="1:5" x14ac:dyDescent="0.25">
      <c r="A1146">
        <v>3544</v>
      </c>
      <c r="B1146" s="1">
        <v>2.4611111111111112</v>
      </c>
      <c r="C1146">
        <v>0</v>
      </c>
      <c r="D1146">
        <v>0</v>
      </c>
      <c r="E1146">
        <f t="shared" si="17"/>
        <v>0</v>
      </c>
    </row>
    <row r="1147" spans="1:5" x14ac:dyDescent="0.25">
      <c r="A1147">
        <v>3545</v>
      </c>
      <c r="B1147" s="1">
        <v>2.4618055555555554</v>
      </c>
      <c r="C1147">
        <v>0</v>
      </c>
      <c r="D1147">
        <v>0</v>
      </c>
      <c r="E1147">
        <f t="shared" si="17"/>
        <v>0</v>
      </c>
    </row>
    <row r="1148" spans="1:5" x14ac:dyDescent="0.25">
      <c r="A1148">
        <v>3546</v>
      </c>
      <c r="B1148" s="1">
        <v>2.4624999999999999</v>
      </c>
      <c r="C1148">
        <v>0</v>
      </c>
      <c r="D1148">
        <v>0</v>
      </c>
      <c r="E1148">
        <f t="shared" si="17"/>
        <v>0</v>
      </c>
    </row>
    <row r="1149" spans="1:5" x14ac:dyDescent="0.25">
      <c r="A1149">
        <v>3547</v>
      </c>
      <c r="B1149" s="1">
        <v>2.4631944444444445</v>
      </c>
      <c r="C1149">
        <v>0</v>
      </c>
      <c r="D1149">
        <v>0</v>
      </c>
      <c r="E1149">
        <f t="shared" si="17"/>
        <v>0</v>
      </c>
    </row>
    <row r="1150" spans="1:5" x14ac:dyDescent="0.25">
      <c r="A1150">
        <v>3548</v>
      </c>
      <c r="B1150" s="1">
        <v>2.463888888888889</v>
      </c>
      <c r="C1150">
        <v>0</v>
      </c>
      <c r="D1150">
        <v>0</v>
      </c>
      <c r="E1150">
        <f t="shared" si="17"/>
        <v>0</v>
      </c>
    </row>
    <row r="1151" spans="1:5" x14ac:dyDescent="0.25">
      <c r="A1151">
        <v>3549</v>
      </c>
      <c r="B1151" s="1">
        <v>2.4645833333333331</v>
      </c>
      <c r="C1151">
        <v>0</v>
      </c>
      <c r="D1151">
        <v>0</v>
      </c>
      <c r="E1151">
        <f t="shared" si="17"/>
        <v>0</v>
      </c>
    </row>
    <row r="1152" spans="1:5" x14ac:dyDescent="0.25">
      <c r="A1152">
        <v>3550</v>
      </c>
      <c r="B1152" s="1">
        <v>2.4652777777777777</v>
      </c>
      <c r="C1152">
        <v>0</v>
      </c>
      <c r="D1152">
        <v>0</v>
      </c>
      <c r="E1152">
        <f t="shared" si="17"/>
        <v>0</v>
      </c>
    </row>
    <row r="1153" spans="1:5" x14ac:dyDescent="0.25">
      <c r="A1153">
        <v>3551</v>
      </c>
      <c r="B1153" s="1">
        <v>2.4659722222222222</v>
      </c>
      <c r="C1153">
        <v>0</v>
      </c>
      <c r="D1153">
        <v>0</v>
      </c>
      <c r="E1153">
        <f t="shared" si="17"/>
        <v>0</v>
      </c>
    </row>
    <row r="1154" spans="1:5" x14ac:dyDescent="0.25">
      <c r="A1154">
        <v>3552</v>
      </c>
      <c r="B1154" s="1">
        <v>2.4666666666666668</v>
      </c>
      <c r="C1154">
        <v>0</v>
      </c>
      <c r="D1154">
        <v>0</v>
      </c>
      <c r="E1154">
        <f t="shared" si="17"/>
        <v>0</v>
      </c>
    </row>
    <row r="1155" spans="1:5" x14ac:dyDescent="0.25">
      <c r="A1155">
        <v>3553</v>
      </c>
      <c r="B1155" s="1">
        <v>2.4673611111111109</v>
      </c>
      <c r="C1155">
        <v>0</v>
      </c>
      <c r="D1155">
        <v>0</v>
      </c>
      <c r="E1155">
        <f t="shared" ref="E1155:E1202" si="18">D1155*$H$3</f>
        <v>0</v>
      </c>
    </row>
    <row r="1156" spans="1:5" x14ac:dyDescent="0.25">
      <c r="A1156">
        <v>3554</v>
      </c>
      <c r="B1156" s="1">
        <v>2.4680555555555554</v>
      </c>
      <c r="C1156">
        <v>0</v>
      </c>
      <c r="D1156">
        <v>0</v>
      </c>
      <c r="E1156">
        <f t="shared" si="18"/>
        <v>0</v>
      </c>
    </row>
    <row r="1157" spans="1:5" x14ac:dyDescent="0.25">
      <c r="A1157">
        <v>3555</v>
      </c>
      <c r="B1157" s="1">
        <v>2.46875</v>
      </c>
      <c r="C1157">
        <v>0</v>
      </c>
      <c r="D1157">
        <v>0</v>
      </c>
      <c r="E1157">
        <f t="shared" si="18"/>
        <v>0</v>
      </c>
    </row>
    <row r="1158" spans="1:5" x14ac:dyDescent="0.25">
      <c r="A1158">
        <v>3556</v>
      </c>
      <c r="B1158" s="1">
        <v>2.4694444444444446</v>
      </c>
      <c r="C1158">
        <v>0</v>
      </c>
      <c r="D1158">
        <v>0</v>
      </c>
      <c r="E1158">
        <f t="shared" si="18"/>
        <v>0</v>
      </c>
    </row>
    <row r="1159" spans="1:5" x14ac:dyDescent="0.25">
      <c r="A1159">
        <v>3557</v>
      </c>
      <c r="B1159" s="1">
        <v>2.4701388888888891</v>
      </c>
      <c r="C1159">
        <v>0</v>
      </c>
      <c r="D1159">
        <v>0</v>
      </c>
      <c r="E1159">
        <f t="shared" si="18"/>
        <v>0</v>
      </c>
    </row>
    <row r="1160" spans="1:5" x14ac:dyDescent="0.25">
      <c r="A1160">
        <v>3558</v>
      </c>
      <c r="B1160" s="1">
        <v>2.4708333333333332</v>
      </c>
      <c r="C1160">
        <v>0</v>
      </c>
      <c r="D1160">
        <v>0</v>
      </c>
      <c r="E1160">
        <f t="shared" si="18"/>
        <v>0</v>
      </c>
    </row>
    <row r="1161" spans="1:5" x14ac:dyDescent="0.25">
      <c r="A1161">
        <v>3559</v>
      </c>
      <c r="B1161" s="1">
        <v>2.4715277777777778</v>
      </c>
      <c r="C1161">
        <v>0</v>
      </c>
      <c r="D1161">
        <v>0</v>
      </c>
      <c r="E1161">
        <f t="shared" si="18"/>
        <v>0</v>
      </c>
    </row>
    <row r="1162" spans="1:5" x14ac:dyDescent="0.25">
      <c r="A1162">
        <v>3560</v>
      </c>
      <c r="B1162" s="1">
        <v>2.4722222222222223</v>
      </c>
      <c r="C1162">
        <v>0</v>
      </c>
      <c r="D1162">
        <v>0</v>
      </c>
      <c r="E1162">
        <f t="shared" si="18"/>
        <v>0</v>
      </c>
    </row>
    <row r="1163" spans="1:5" x14ac:dyDescent="0.25">
      <c r="A1163">
        <v>3561</v>
      </c>
      <c r="B1163" s="1">
        <v>2.4729166666666669</v>
      </c>
      <c r="C1163">
        <v>0</v>
      </c>
      <c r="D1163">
        <v>0</v>
      </c>
      <c r="E1163">
        <f t="shared" si="18"/>
        <v>0</v>
      </c>
    </row>
    <row r="1164" spans="1:5" x14ac:dyDescent="0.25">
      <c r="A1164">
        <v>3562</v>
      </c>
      <c r="B1164" s="1">
        <v>2.473611111111111</v>
      </c>
      <c r="C1164">
        <v>0</v>
      </c>
      <c r="D1164">
        <v>0</v>
      </c>
      <c r="E1164">
        <f t="shared" si="18"/>
        <v>0</v>
      </c>
    </row>
    <row r="1165" spans="1:5" x14ac:dyDescent="0.25">
      <c r="A1165">
        <v>3563</v>
      </c>
      <c r="B1165" s="1">
        <v>2.4743055555555555</v>
      </c>
      <c r="C1165">
        <v>0</v>
      </c>
      <c r="D1165">
        <v>0</v>
      </c>
      <c r="E1165">
        <f t="shared" si="18"/>
        <v>0</v>
      </c>
    </row>
    <row r="1166" spans="1:5" x14ac:dyDescent="0.25">
      <c r="A1166">
        <v>3564</v>
      </c>
      <c r="B1166" s="1">
        <v>2.4750000000000001</v>
      </c>
      <c r="C1166">
        <v>0</v>
      </c>
      <c r="D1166">
        <v>0</v>
      </c>
      <c r="E1166">
        <f t="shared" si="18"/>
        <v>0</v>
      </c>
    </row>
    <row r="1167" spans="1:5" x14ac:dyDescent="0.25">
      <c r="A1167">
        <v>3565</v>
      </c>
      <c r="B1167" s="1">
        <v>2.4756944444444446</v>
      </c>
      <c r="C1167">
        <v>0</v>
      </c>
      <c r="D1167">
        <v>0</v>
      </c>
      <c r="E1167">
        <f t="shared" si="18"/>
        <v>0</v>
      </c>
    </row>
    <row r="1168" spans="1:5" x14ac:dyDescent="0.25">
      <c r="A1168">
        <v>3566</v>
      </c>
      <c r="B1168" s="1">
        <v>2.4763888888888888</v>
      </c>
      <c r="C1168">
        <v>0</v>
      </c>
      <c r="D1168">
        <v>0</v>
      </c>
      <c r="E1168">
        <f t="shared" si="18"/>
        <v>0</v>
      </c>
    </row>
    <row r="1169" spans="1:5" x14ac:dyDescent="0.25">
      <c r="A1169">
        <v>3567</v>
      </c>
      <c r="B1169" s="1">
        <v>2.4770833333333333</v>
      </c>
      <c r="C1169">
        <v>0</v>
      </c>
      <c r="D1169">
        <v>0</v>
      </c>
      <c r="E1169">
        <f t="shared" si="18"/>
        <v>0</v>
      </c>
    </row>
    <row r="1170" spans="1:5" x14ac:dyDescent="0.25">
      <c r="A1170">
        <v>3568</v>
      </c>
      <c r="B1170" s="1">
        <v>2.4777777777777779</v>
      </c>
      <c r="C1170">
        <v>0</v>
      </c>
      <c r="D1170">
        <v>0</v>
      </c>
      <c r="E1170">
        <f t="shared" si="18"/>
        <v>0</v>
      </c>
    </row>
    <row r="1171" spans="1:5" x14ac:dyDescent="0.25">
      <c r="A1171">
        <v>3569</v>
      </c>
      <c r="B1171" s="1">
        <v>2.4784722222222224</v>
      </c>
      <c r="C1171">
        <v>0</v>
      </c>
      <c r="D1171">
        <v>0</v>
      </c>
      <c r="E1171">
        <f t="shared" si="18"/>
        <v>0</v>
      </c>
    </row>
    <row r="1172" spans="1:5" x14ac:dyDescent="0.25">
      <c r="A1172">
        <v>3570</v>
      </c>
      <c r="B1172" s="1">
        <v>2.4791666666666665</v>
      </c>
      <c r="C1172">
        <v>0</v>
      </c>
      <c r="D1172">
        <v>0</v>
      </c>
      <c r="E1172">
        <f t="shared" si="18"/>
        <v>0</v>
      </c>
    </row>
    <row r="1173" spans="1:5" x14ac:dyDescent="0.25">
      <c r="A1173">
        <v>3571</v>
      </c>
      <c r="B1173" s="1">
        <v>2.4798611111111111</v>
      </c>
      <c r="C1173">
        <v>0</v>
      </c>
      <c r="D1173">
        <v>0</v>
      </c>
      <c r="E1173">
        <f t="shared" si="18"/>
        <v>0</v>
      </c>
    </row>
    <row r="1174" spans="1:5" x14ac:dyDescent="0.25">
      <c r="A1174">
        <v>3572</v>
      </c>
      <c r="B1174" s="1">
        <v>2.4805555555555556</v>
      </c>
      <c r="C1174">
        <v>0</v>
      </c>
      <c r="D1174">
        <v>0</v>
      </c>
      <c r="E1174">
        <f t="shared" si="18"/>
        <v>0</v>
      </c>
    </row>
    <row r="1175" spans="1:5" x14ac:dyDescent="0.25">
      <c r="A1175">
        <v>3573</v>
      </c>
      <c r="B1175" s="1">
        <v>2.4812500000000002</v>
      </c>
      <c r="C1175">
        <v>0</v>
      </c>
      <c r="D1175">
        <v>0</v>
      </c>
      <c r="E1175">
        <f t="shared" si="18"/>
        <v>0</v>
      </c>
    </row>
    <row r="1176" spans="1:5" x14ac:dyDescent="0.25">
      <c r="A1176">
        <v>3574</v>
      </c>
      <c r="B1176" s="1">
        <v>2.4819444444444443</v>
      </c>
      <c r="C1176">
        <v>0</v>
      </c>
      <c r="D1176">
        <v>0</v>
      </c>
      <c r="E1176">
        <f t="shared" si="18"/>
        <v>0</v>
      </c>
    </row>
    <row r="1177" spans="1:5" x14ac:dyDescent="0.25">
      <c r="A1177">
        <v>3575</v>
      </c>
      <c r="B1177" s="1">
        <v>2.4826388888888888</v>
      </c>
      <c r="C1177">
        <v>0</v>
      </c>
      <c r="D1177">
        <v>0</v>
      </c>
      <c r="E1177">
        <f t="shared" si="18"/>
        <v>0</v>
      </c>
    </row>
    <row r="1178" spans="1:5" x14ac:dyDescent="0.25">
      <c r="A1178">
        <v>3576</v>
      </c>
      <c r="B1178" s="1">
        <v>2.4833333333333334</v>
      </c>
      <c r="C1178">
        <v>0</v>
      </c>
      <c r="D1178">
        <v>0</v>
      </c>
      <c r="E1178">
        <f t="shared" si="18"/>
        <v>0</v>
      </c>
    </row>
    <row r="1179" spans="1:5" x14ac:dyDescent="0.25">
      <c r="A1179">
        <v>3577</v>
      </c>
      <c r="B1179" s="1">
        <v>2.4840277777777779</v>
      </c>
      <c r="C1179">
        <v>0</v>
      </c>
      <c r="D1179">
        <v>0</v>
      </c>
      <c r="E1179">
        <f t="shared" si="18"/>
        <v>0</v>
      </c>
    </row>
    <row r="1180" spans="1:5" x14ac:dyDescent="0.25">
      <c r="A1180">
        <v>3578</v>
      </c>
      <c r="B1180" s="1">
        <v>2.4847222222222221</v>
      </c>
      <c r="C1180">
        <v>0</v>
      </c>
      <c r="D1180">
        <v>0</v>
      </c>
      <c r="E1180">
        <f t="shared" si="18"/>
        <v>0</v>
      </c>
    </row>
    <row r="1181" spans="1:5" x14ac:dyDescent="0.25">
      <c r="A1181">
        <v>3579</v>
      </c>
      <c r="B1181" s="1">
        <v>2.4854166666666666</v>
      </c>
      <c r="C1181">
        <v>0</v>
      </c>
      <c r="D1181">
        <v>0</v>
      </c>
      <c r="E1181">
        <f t="shared" si="18"/>
        <v>0</v>
      </c>
    </row>
    <row r="1182" spans="1:5" x14ac:dyDescent="0.25">
      <c r="A1182">
        <v>3580</v>
      </c>
      <c r="B1182" s="1">
        <v>2.4861111111111112</v>
      </c>
      <c r="C1182">
        <v>0</v>
      </c>
      <c r="D1182">
        <v>0</v>
      </c>
      <c r="E1182">
        <f t="shared" si="18"/>
        <v>0</v>
      </c>
    </row>
    <row r="1183" spans="1:5" x14ac:dyDescent="0.25">
      <c r="A1183">
        <v>3581</v>
      </c>
      <c r="B1183" s="1">
        <v>2.4868055555555557</v>
      </c>
      <c r="C1183">
        <v>0</v>
      </c>
      <c r="D1183">
        <v>0</v>
      </c>
      <c r="E1183">
        <f t="shared" si="18"/>
        <v>0</v>
      </c>
    </row>
    <row r="1184" spans="1:5" x14ac:dyDescent="0.25">
      <c r="A1184">
        <v>3582</v>
      </c>
      <c r="B1184" s="1">
        <v>2.4874999999999998</v>
      </c>
      <c r="C1184">
        <v>0</v>
      </c>
      <c r="D1184">
        <v>0</v>
      </c>
      <c r="E1184">
        <f t="shared" si="18"/>
        <v>0</v>
      </c>
    </row>
    <row r="1185" spans="1:5" x14ac:dyDescent="0.25">
      <c r="A1185">
        <v>3583</v>
      </c>
      <c r="B1185" s="1">
        <v>2.4881944444444444</v>
      </c>
      <c r="C1185">
        <v>0</v>
      </c>
      <c r="D1185">
        <v>0</v>
      </c>
      <c r="E1185">
        <f t="shared" si="18"/>
        <v>0</v>
      </c>
    </row>
    <row r="1186" spans="1:5" x14ac:dyDescent="0.25">
      <c r="A1186">
        <v>3584</v>
      </c>
      <c r="B1186" s="1">
        <v>2.4888888888888889</v>
      </c>
      <c r="C1186">
        <v>0</v>
      </c>
      <c r="D1186">
        <v>0</v>
      </c>
      <c r="E1186">
        <f t="shared" si="18"/>
        <v>0</v>
      </c>
    </row>
    <row r="1187" spans="1:5" x14ac:dyDescent="0.25">
      <c r="A1187">
        <v>3585</v>
      </c>
      <c r="B1187" s="1">
        <v>2.4895833333333335</v>
      </c>
      <c r="C1187">
        <v>0</v>
      </c>
      <c r="D1187">
        <v>0</v>
      </c>
      <c r="E1187">
        <f t="shared" si="18"/>
        <v>0</v>
      </c>
    </row>
    <row r="1188" spans="1:5" x14ac:dyDescent="0.25">
      <c r="A1188">
        <v>3586</v>
      </c>
      <c r="B1188" s="1">
        <v>2.4902777777777776</v>
      </c>
      <c r="C1188">
        <v>0</v>
      </c>
      <c r="D1188">
        <v>0</v>
      </c>
      <c r="E1188">
        <f t="shared" si="18"/>
        <v>0</v>
      </c>
    </row>
    <row r="1189" spans="1:5" x14ac:dyDescent="0.25">
      <c r="A1189">
        <v>3587</v>
      </c>
      <c r="B1189" s="1">
        <v>2.4909722222222221</v>
      </c>
      <c r="C1189">
        <v>0</v>
      </c>
      <c r="D1189">
        <v>0</v>
      </c>
      <c r="E1189">
        <f t="shared" si="18"/>
        <v>0</v>
      </c>
    </row>
    <row r="1190" spans="1:5" x14ac:dyDescent="0.25">
      <c r="A1190">
        <v>3588</v>
      </c>
      <c r="B1190" s="1">
        <v>2.4916666666666667</v>
      </c>
      <c r="C1190">
        <v>0</v>
      </c>
      <c r="D1190">
        <v>0</v>
      </c>
      <c r="E1190">
        <f t="shared" si="18"/>
        <v>0</v>
      </c>
    </row>
    <row r="1191" spans="1:5" x14ac:dyDescent="0.25">
      <c r="A1191">
        <v>3589</v>
      </c>
      <c r="B1191" s="1">
        <v>2.4923611111111112</v>
      </c>
      <c r="C1191">
        <v>0</v>
      </c>
      <c r="D1191">
        <v>0</v>
      </c>
      <c r="E1191">
        <f t="shared" si="18"/>
        <v>0</v>
      </c>
    </row>
    <row r="1192" spans="1:5" x14ac:dyDescent="0.25">
      <c r="A1192">
        <v>3590</v>
      </c>
      <c r="B1192" s="1">
        <v>2.4930555555555554</v>
      </c>
      <c r="C1192">
        <v>0</v>
      </c>
      <c r="D1192">
        <v>0</v>
      </c>
      <c r="E1192">
        <f t="shared" si="18"/>
        <v>0</v>
      </c>
    </row>
    <row r="1193" spans="1:5" x14ac:dyDescent="0.25">
      <c r="A1193">
        <v>3591</v>
      </c>
      <c r="B1193" s="1">
        <v>2.4937499999999999</v>
      </c>
      <c r="C1193">
        <v>0</v>
      </c>
      <c r="D1193">
        <v>0</v>
      </c>
      <c r="E1193">
        <f t="shared" si="18"/>
        <v>0</v>
      </c>
    </row>
    <row r="1194" spans="1:5" x14ac:dyDescent="0.25">
      <c r="A1194">
        <v>3592</v>
      </c>
      <c r="B1194" s="1">
        <v>2.4944444444444445</v>
      </c>
      <c r="C1194">
        <v>0</v>
      </c>
      <c r="D1194">
        <v>0</v>
      </c>
      <c r="E1194">
        <f t="shared" si="18"/>
        <v>0</v>
      </c>
    </row>
    <row r="1195" spans="1:5" x14ac:dyDescent="0.25">
      <c r="A1195">
        <v>3593</v>
      </c>
      <c r="B1195" s="1">
        <v>2.495138888888889</v>
      </c>
      <c r="C1195">
        <v>0</v>
      </c>
      <c r="D1195">
        <v>0</v>
      </c>
      <c r="E1195">
        <f t="shared" si="18"/>
        <v>0</v>
      </c>
    </row>
    <row r="1196" spans="1:5" x14ac:dyDescent="0.25">
      <c r="A1196">
        <v>3594</v>
      </c>
      <c r="B1196" s="1">
        <v>2.4958333333333331</v>
      </c>
      <c r="C1196">
        <v>0</v>
      </c>
      <c r="D1196">
        <v>0</v>
      </c>
      <c r="E1196">
        <f t="shared" si="18"/>
        <v>0</v>
      </c>
    </row>
    <row r="1197" spans="1:5" x14ac:dyDescent="0.25">
      <c r="A1197">
        <v>3595</v>
      </c>
      <c r="B1197" s="1">
        <v>2.4965277777777777</v>
      </c>
      <c r="C1197">
        <v>0</v>
      </c>
      <c r="D1197">
        <v>0</v>
      </c>
      <c r="E1197">
        <f t="shared" si="18"/>
        <v>0</v>
      </c>
    </row>
    <row r="1198" spans="1:5" x14ac:dyDescent="0.25">
      <c r="A1198">
        <v>3596</v>
      </c>
      <c r="B1198" s="1">
        <v>2.4972222222222222</v>
      </c>
      <c r="C1198">
        <v>0</v>
      </c>
      <c r="D1198">
        <v>0</v>
      </c>
      <c r="E1198">
        <f t="shared" si="18"/>
        <v>0</v>
      </c>
    </row>
    <row r="1199" spans="1:5" x14ac:dyDescent="0.25">
      <c r="A1199">
        <v>3597</v>
      </c>
      <c r="B1199" s="1">
        <v>2.4979166666666668</v>
      </c>
      <c r="C1199">
        <v>0</v>
      </c>
      <c r="D1199">
        <v>0</v>
      </c>
      <c r="E1199">
        <f t="shared" si="18"/>
        <v>0</v>
      </c>
    </row>
    <row r="1200" spans="1:5" x14ac:dyDescent="0.25">
      <c r="A1200">
        <v>3598</v>
      </c>
      <c r="B1200" s="1">
        <v>2.4986111111111109</v>
      </c>
      <c r="C1200">
        <v>0</v>
      </c>
      <c r="D1200">
        <v>0</v>
      </c>
      <c r="E1200">
        <f t="shared" si="18"/>
        <v>0</v>
      </c>
    </row>
    <row r="1201" spans="1:5" x14ac:dyDescent="0.25">
      <c r="A1201">
        <v>3599</v>
      </c>
      <c r="B1201" s="1">
        <v>2.4993055555555554</v>
      </c>
      <c r="C1201">
        <v>0</v>
      </c>
      <c r="D1201">
        <v>0</v>
      </c>
      <c r="E1201">
        <f t="shared" si="18"/>
        <v>0</v>
      </c>
    </row>
    <row r="1202" spans="1:5" x14ac:dyDescent="0.25">
      <c r="A1202">
        <v>3600</v>
      </c>
      <c r="B1202" s="1">
        <v>2.5</v>
      </c>
      <c r="C1202">
        <v>0</v>
      </c>
      <c r="D1202">
        <v>0</v>
      </c>
      <c r="E1202">
        <f t="shared" si="18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9AB-98D7-44A9-8A5D-AF3798A0152C}">
  <dimension ref="A1:L1202"/>
  <sheetViews>
    <sheetView tabSelected="1" topLeftCell="A586" zoomScale="85" zoomScaleNormal="85" workbookViewId="0">
      <selection activeCell="L591" sqref="L591"/>
    </sheetView>
  </sheetViews>
  <sheetFormatPr defaultRowHeight="15" x14ac:dyDescent="0.25"/>
  <cols>
    <col min="1" max="1" width="25.7109375" customWidth="1"/>
    <col min="2" max="6" width="25.7109375" style="3" customWidth="1"/>
    <col min="7" max="7" width="17.5703125" style="5" customWidth="1"/>
    <col min="8" max="8" width="16.7109375" customWidth="1"/>
    <col min="10" max="10" width="14" customWidth="1"/>
    <col min="11" max="11" width="17.85546875" style="2" bestFit="1" customWidth="1"/>
  </cols>
  <sheetData>
    <row r="1" spans="1:12" x14ac:dyDescent="0.25">
      <c r="A1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5" t="s">
        <v>44</v>
      </c>
      <c r="J1" t="s">
        <v>29</v>
      </c>
      <c r="K1" s="2">
        <v>8.0670000000000002</v>
      </c>
      <c r="L1" t="s">
        <v>1</v>
      </c>
    </row>
    <row r="2" spans="1:12" x14ac:dyDescent="0.25">
      <c r="A2">
        <v>2400</v>
      </c>
      <c r="B2" s="3">
        <v>0</v>
      </c>
      <c r="C2" s="3">
        <f>B2*$K$4</f>
        <v>0</v>
      </c>
      <c r="D2" s="3">
        <v>0</v>
      </c>
      <c r="E2" s="3">
        <f>0</f>
        <v>0</v>
      </c>
      <c r="F2" s="3">
        <f>E2/$K$1</f>
        <v>0</v>
      </c>
      <c r="G2" s="2">
        <f>K11</f>
        <v>101325</v>
      </c>
      <c r="J2" t="s">
        <v>30</v>
      </c>
      <c r="K2" s="2">
        <v>6.5000000000000002E-2</v>
      </c>
      <c r="L2" t="s">
        <v>31</v>
      </c>
    </row>
    <row r="3" spans="1:12" x14ac:dyDescent="0.25">
      <c r="A3">
        <v>2401</v>
      </c>
      <c r="B3" s="3">
        <v>0</v>
      </c>
      <c r="C3" s="3">
        <f>B3*$K$4</f>
        <v>0</v>
      </c>
      <c r="D3" s="3">
        <f>(E2/$K$1)*$K$2*1</f>
        <v>0</v>
      </c>
      <c r="E3" s="3">
        <f>E2+C3-D3</f>
        <v>0</v>
      </c>
      <c r="F3" s="3">
        <f>E3/$K$1</f>
        <v>0</v>
      </c>
      <c r="G3" s="5">
        <f>G2+C3-$K$5*$K$9*SQRT(MAX(0,2*$K$6*(G2-$K$11)))</f>
        <v>101325</v>
      </c>
      <c r="J3" t="s">
        <v>32</v>
      </c>
      <c r="K3" s="2">
        <f>MAX(F:F)*100</f>
        <v>0.97929619416920488</v>
      </c>
      <c r="L3" t="s">
        <v>7</v>
      </c>
    </row>
    <row r="4" spans="1:12" x14ac:dyDescent="0.25">
      <c r="A4">
        <v>2402</v>
      </c>
      <c r="B4" s="3">
        <v>0</v>
      </c>
      <c r="C4" s="3">
        <f>B4*$K$4</f>
        <v>0</v>
      </c>
      <c r="D4" s="3">
        <f>(E3/$K$1)*$K$2*1</f>
        <v>0</v>
      </c>
      <c r="E4" s="3">
        <f t="shared" ref="E4:E67" si="0">E3+C4-D4</f>
        <v>0</v>
      </c>
      <c r="F4" s="3">
        <f>E4/$K$1</f>
        <v>0</v>
      </c>
      <c r="G4" s="5">
        <f t="shared" ref="G4:G67" si="1">G3+C4-$K$5*$K$9*SQRT(MAX(0,2*$K$6*(G3-$K$11)))</f>
        <v>101325</v>
      </c>
      <c r="J4" t="s">
        <v>33</v>
      </c>
      <c r="K4" s="2">
        <v>1</v>
      </c>
      <c r="L4" t="s">
        <v>34</v>
      </c>
    </row>
    <row r="5" spans="1:12" x14ac:dyDescent="0.25">
      <c r="A5">
        <v>2403</v>
      </c>
      <c r="B5" s="3">
        <v>0</v>
      </c>
      <c r="C5" s="3">
        <f>B5*$K$4</f>
        <v>0</v>
      </c>
      <c r="D5" s="3">
        <f>(E4/$K$1)*$K$2*1</f>
        <v>0</v>
      </c>
      <c r="E5" s="3">
        <f t="shared" si="0"/>
        <v>0</v>
      </c>
      <c r="F5" s="3">
        <f>E5/$K$1</f>
        <v>0</v>
      </c>
      <c r="G5" s="5">
        <f t="shared" si="1"/>
        <v>101325</v>
      </c>
      <c r="J5" t="s">
        <v>40</v>
      </c>
      <c r="K5" s="2">
        <v>0.65</v>
      </c>
      <c r="L5" t="s">
        <v>46</v>
      </c>
    </row>
    <row r="6" spans="1:12" x14ac:dyDescent="0.25">
      <c r="A6">
        <v>2404</v>
      </c>
      <c r="B6" s="3">
        <v>0</v>
      </c>
      <c r="C6" s="3">
        <f>B6*$K$4</f>
        <v>0</v>
      </c>
      <c r="D6" s="3">
        <f>(E5/$K$1)*$K$2*1</f>
        <v>0</v>
      </c>
      <c r="E6" s="3">
        <f t="shared" si="0"/>
        <v>0</v>
      </c>
      <c r="F6" s="3">
        <f>E6/$K$1</f>
        <v>0</v>
      </c>
      <c r="G6" s="5">
        <f t="shared" si="1"/>
        <v>101325</v>
      </c>
      <c r="J6" t="s">
        <v>35</v>
      </c>
      <c r="K6" s="2">
        <v>1.2</v>
      </c>
      <c r="L6" t="s">
        <v>36</v>
      </c>
    </row>
    <row r="7" spans="1:12" x14ac:dyDescent="0.25">
      <c r="A7">
        <v>2405</v>
      </c>
      <c r="B7" s="3">
        <v>0</v>
      </c>
      <c r="C7" s="3">
        <f>B7*$K$4</f>
        <v>0</v>
      </c>
      <c r="D7" s="3">
        <f>(E6/$K$1)*$K$2*1</f>
        <v>0</v>
      </c>
      <c r="E7" s="3">
        <f t="shared" si="0"/>
        <v>0</v>
      </c>
      <c r="F7" s="3">
        <f>E7/$K$1</f>
        <v>0</v>
      </c>
      <c r="G7" s="5">
        <f t="shared" si="1"/>
        <v>101325</v>
      </c>
      <c r="J7" t="s">
        <v>37</v>
      </c>
      <c r="K7" s="2">
        <v>1000</v>
      </c>
      <c r="L7" t="s">
        <v>16</v>
      </c>
    </row>
    <row r="8" spans="1:12" x14ac:dyDescent="0.25">
      <c r="A8">
        <v>2406</v>
      </c>
      <c r="B8" s="3">
        <v>0</v>
      </c>
      <c r="C8" s="3">
        <f>B8*$K$4</f>
        <v>0</v>
      </c>
      <c r="D8" s="3">
        <f>(E7/$K$1)*$K$2*1</f>
        <v>0</v>
      </c>
      <c r="E8" s="3">
        <f t="shared" si="0"/>
        <v>0</v>
      </c>
      <c r="F8" s="3">
        <f>E8/$K$1</f>
        <v>0</v>
      </c>
      <c r="G8" s="5">
        <f t="shared" si="1"/>
        <v>101325</v>
      </c>
      <c r="J8" t="s">
        <v>38</v>
      </c>
      <c r="K8" s="2">
        <v>1</v>
      </c>
      <c r="L8" t="s">
        <v>46</v>
      </c>
    </row>
    <row r="9" spans="1:12" x14ac:dyDescent="0.25">
      <c r="A9">
        <v>2407</v>
      </c>
      <c r="B9" s="3">
        <v>0</v>
      </c>
      <c r="C9" s="3">
        <f>B9*$K$4</f>
        <v>0</v>
      </c>
      <c r="D9" s="3">
        <f>(E8/$K$1)*$K$2*1</f>
        <v>0</v>
      </c>
      <c r="E9" s="3">
        <f t="shared" si="0"/>
        <v>0</v>
      </c>
      <c r="F9" s="3">
        <f>E9/$K$1</f>
        <v>0</v>
      </c>
      <c r="G9" s="5">
        <f t="shared" si="1"/>
        <v>101325</v>
      </c>
      <c r="J9" t="s">
        <v>39</v>
      </c>
      <c r="K9" s="2">
        <f>K2/(K5*SQRT((2*K7)/K6))</f>
        <v>2.4494897427831779E-3</v>
      </c>
      <c r="L9" t="s">
        <v>41</v>
      </c>
    </row>
    <row r="10" spans="1:12" x14ac:dyDescent="0.25">
      <c r="A10">
        <v>2408</v>
      </c>
      <c r="B10" s="3">
        <v>0</v>
      </c>
      <c r="C10" s="3">
        <f>B10*$K$4</f>
        <v>0</v>
      </c>
      <c r="D10" s="3">
        <f>(E9/$K$1)*$K$2*1</f>
        <v>0</v>
      </c>
      <c r="E10" s="3">
        <f t="shared" si="0"/>
        <v>0</v>
      </c>
      <c r="F10" s="3">
        <f>E10/$K$1</f>
        <v>0</v>
      </c>
      <c r="G10" s="5">
        <f t="shared" si="1"/>
        <v>101325</v>
      </c>
      <c r="J10" t="s">
        <v>42</v>
      </c>
      <c r="K10" s="2">
        <f>SQRT(4*K9/PI())</f>
        <v>5.5846102862551691E-2</v>
      </c>
      <c r="L10" t="s">
        <v>43</v>
      </c>
    </row>
    <row r="11" spans="1:12" x14ac:dyDescent="0.25">
      <c r="A11">
        <v>2409</v>
      </c>
      <c r="B11" s="3">
        <v>0</v>
      </c>
      <c r="C11" s="3">
        <f>B11*$K$4</f>
        <v>0</v>
      </c>
      <c r="D11" s="3">
        <f>(E10/$K$1)*$K$2*1</f>
        <v>0</v>
      </c>
      <c r="E11" s="3">
        <f t="shared" si="0"/>
        <v>0</v>
      </c>
      <c r="F11" s="3">
        <f>E11/$K$1</f>
        <v>0</v>
      </c>
      <c r="G11" s="5">
        <f t="shared" si="1"/>
        <v>101325</v>
      </c>
      <c r="J11" t="s">
        <v>45</v>
      </c>
      <c r="K11" s="2">
        <v>101325</v>
      </c>
      <c r="L11" t="s">
        <v>16</v>
      </c>
    </row>
    <row r="12" spans="1:12" x14ac:dyDescent="0.25">
      <c r="A12">
        <v>2410</v>
      </c>
      <c r="B12" s="3">
        <v>0</v>
      </c>
      <c r="C12" s="3">
        <f>B12*$K$4</f>
        <v>0</v>
      </c>
      <c r="D12" s="3">
        <f>(E11/$K$1)*$K$2*1</f>
        <v>0</v>
      </c>
      <c r="E12" s="3">
        <f t="shared" si="0"/>
        <v>0</v>
      </c>
      <c r="F12" s="3">
        <f>E12/$K$1</f>
        <v>0</v>
      </c>
      <c r="G12" s="5">
        <f t="shared" si="1"/>
        <v>101325</v>
      </c>
    </row>
    <row r="13" spans="1:12" x14ac:dyDescent="0.25">
      <c r="A13">
        <v>2411</v>
      </c>
      <c r="B13" s="3">
        <v>0</v>
      </c>
      <c r="C13" s="3">
        <f>B13*$K$4</f>
        <v>0</v>
      </c>
      <c r="D13" s="3">
        <f>(E12/$K$1)*$K$2*1</f>
        <v>0</v>
      </c>
      <c r="E13" s="3">
        <f t="shared" si="0"/>
        <v>0</v>
      </c>
      <c r="F13" s="3">
        <f>E13/$K$1</f>
        <v>0</v>
      </c>
      <c r="G13" s="5">
        <f t="shared" si="1"/>
        <v>101325</v>
      </c>
    </row>
    <row r="14" spans="1:12" x14ac:dyDescent="0.25">
      <c r="A14">
        <v>2412</v>
      </c>
      <c r="B14" s="3">
        <v>0</v>
      </c>
      <c r="C14" s="3">
        <f>B14*$K$4</f>
        <v>0</v>
      </c>
      <c r="D14" s="3">
        <f>(E13/$K$1)*$K$2*1</f>
        <v>0</v>
      </c>
      <c r="E14" s="3">
        <f t="shared" si="0"/>
        <v>0</v>
      </c>
      <c r="F14" s="3">
        <f>E14/$K$1</f>
        <v>0</v>
      </c>
      <c r="G14" s="5">
        <f t="shared" si="1"/>
        <v>101325</v>
      </c>
    </row>
    <row r="15" spans="1:12" x14ac:dyDescent="0.25">
      <c r="A15">
        <v>2413</v>
      </c>
      <c r="B15" s="3">
        <v>0</v>
      </c>
      <c r="C15" s="3">
        <f>B15*$K$4</f>
        <v>0</v>
      </c>
      <c r="D15" s="3">
        <f>(E14/$K$1)*$K$2*1</f>
        <v>0</v>
      </c>
      <c r="E15" s="3">
        <f t="shared" si="0"/>
        <v>0</v>
      </c>
      <c r="F15" s="3">
        <f>E15/$K$1</f>
        <v>0</v>
      </c>
      <c r="G15" s="5">
        <f t="shared" si="1"/>
        <v>101325</v>
      </c>
    </row>
    <row r="16" spans="1:12" x14ac:dyDescent="0.25">
      <c r="A16">
        <v>2414</v>
      </c>
      <c r="B16" s="3">
        <v>0</v>
      </c>
      <c r="C16" s="3">
        <f>B16*$K$4</f>
        <v>0</v>
      </c>
      <c r="D16" s="3">
        <f>(E15/$K$1)*$K$2*1</f>
        <v>0</v>
      </c>
      <c r="E16" s="3">
        <f t="shared" si="0"/>
        <v>0</v>
      </c>
      <c r="F16" s="3">
        <f>E16/$K$1</f>
        <v>0</v>
      </c>
      <c r="G16" s="5">
        <f t="shared" si="1"/>
        <v>101325</v>
      </c>
    </row>
    <row r="17" spans="1:7" x14ac:dyDescent="0.25">
      <c r="A17">
        <v>2415</v>
      </c>
      <c r="B17" s="3">
        <v>0</v>
      </c>
      <c r="C17" s="3">
        <f>B17*$K$4</f>
        <v>0</v>
      </c>
      <c r="D17" s="3">
        <f>(E16/$K$1)*$K$2*1</f>
        <v>0</v>
      </c>
      <c r="E17" s="3">
        <f t="shared" si="0"/>
        <v>0</v>
      </c>
      <c r="F17" s="3">
        <f>E17/$K$1</f>
        <v>0</v>
      </c>
      <c r="G17" s="5">
        <f t="shared" si="1"/>
        <v>101325</v>
      </c>
    </row>
    <row r="18" spans="1:7" x14ac:dyDescent="0.25">
      <c r="A18">
        <v>2416</v>
      </c>
      <c r="B18" s="3">
        <v>0</v>
      </c>
      <c r="C18" s="3">
        <f>B18*$K$4</f>
        <v>0</v>
      </c>
      <c r="D18" s="3">
        <f>(E17/$K$1)*$K$2*1</f>
        <v>0</v>
      </c>
      <c r="E18" s="3">
        <f t="shared" si="0"/>
        <v>0</v>
      </c>
      <c r="F18" s="3">
        <f>E18/$K$1</f>
        <v>0</v>
      </c>
      <c r="G18" s="5">
        <f t="shared" si="1"/>
        <v>101325</v>
      </c>
    </row>
    <row r="19" spans="1:7" x14ac:dyDescent="0.25">
      <c r="A19">
        <v>2417</v>
      </c>
      <c r="B19" s="3">
        <v>0</v>
      </c>
      <c r="C19" s="3">
        <f>B19*$K$4</f>
        <v>0</v>
      </c>
      <c r="D19" s="3">
        <f>(E18/$K$1)*$K$2*1</f>
        <v>0</v>
      </c>
      <c r="E19" s="3">
        <f t="shared" si="0"/>
        <v>0</v>
      </c>
      <c r="F19" s="3">
        <f>E19/$K$1</f>
        <v>0</v>
      </c>
      <c r="G19" s="5">
        <f t="shared" si="1"/>
        <v>101325</v>
      </c>
    </row>
    <row r="20" spans="1:7" x14ac:dyDescent="0.25">
      <c r="A20">
        <v>2418</v>
      </c>
      <c r="B20" s="3">
        <v>0</v>
      </c>
      <c r="C20" s="3">
        <f>B20*$K$4</f>
        <v>0</v>
      </c>
      <c r="D20" s="3">
        <f>(E19/$K$1)*$K$2*1</f>
        <v>0</v>
      </c>
      <c r="E20" s="3">
        <f t="shared" si="0"/>
        <v>0</v>
      </c>
      <c r="F20" s="3">
        <f>E20/$K$1</f>
        <v>0</v>
      </c>
      <c r="G20" s="5">
        <f t="shared" si="1"/>
        <v>101325</v>
      </c>
    </row>
    <row r="21" spans="1:7" x14ac:dyDescent="0.25">
      <c r="A21">
        <v>2419</v>
      </c>
      <c r="B21" s="3">
        <v>0</v>
      </c>
      <c r="C21" s="3">
        <f>B21*$K$4</f>
        <v>0</v>
      </c>
      <c r="D21" s="3">
        <f>(E20/$K$1)*$K$2*1</f>
        <v>0</v>
      </c>
      <c r="E21" s="3">
        <f t="shared" si="0"/>
        <v>0</v>
      </c>
      <c r="F21" s="3">
        <f>E21/$K$1</f>
        <v>0</v>
      </c>
      <c r="G21" s="5">
        <f t="shared" si="1"/>
        <v>101325</v>
      </c>
    </row>
    <row r="22" spans="1:7" x14ac:dyDescent="0.25">
      <c r="A22">
        <v>2420</v>
      </c>
      <c r="B22" s="3">
        <v>0</v>
      </c>
      <c r="C22" s="3">
        <f>B22*$K$4</f>
        <v>0</v>
      </c>
      <c r="D22" s="3">
        <f>(E21/$K$1)*$K$2*1</f>
        <v>0</v>
      </c>
      <c r="E22" s="3">
        <f t="shared" si="0"/>
        <v>0</v>
      </c>
      <c r="F22" s="3">
        <f>E22/$K$1</f>
        <v>0</v>
      </c>
      <c r="G22" s="5">
        <f t="shared" si="1"/>
        <v>101325</v>
      </c>
    </row>
    <row r="23" spans="1:7" x14ac:dyDescent="0.25">
      <c r="A23">
        <v>2421</v>
      </c>
      <c r="B23" s="3">
        <v>0</v>
      </c>
      <c r="C23" s="3">
        <f>B23*$K$4</f>
        <v>0</v>
      </c>
      <c r="D23" s="3">
        <f>(E22/$K$1)*$K$2*1</f>
        <v>0</v>
      </c>
      <c r="E23" s="3">
        <f t="shared" si="0"/>
        <v>0</v>
      </c>
      <c r="F23" s="3">
        <f>E23/$K$1</f>
        <v>0</v>
      </c>
      <c r="G23" s="5">
        <f t="shared" si="1"/>
        <v>101325</v>
      </c>
    </row>
    <row r="24" spans="1:7" x14ac:dyDescent="0.25">
      <c r="A24">
        <v>2422</v>
      </c>
      <c r="B24" s="3">
        <v>0</v>
      </c>
      <c r="C24" s="3">
        <f>B24*$K$4</f>
        <v>0</v>
      </c>
      <c r="D24" s="3">
        <f>(E23/$K$1)*$K$2*1</f>
        <v>0</v>
      </c>
      <c r="E24" s="3">
        <f t="shared" si="0"/>
        <v>0</v>
      </c>
      <c r="F24" s="3">
        <f>E24/$K$1</f>
        <v>0</v>
      </c>
      <c r="G24" s="5">
        <f t="shared" si="1"/>
        <v>101325</v>
      </c>
    </row>
    <row r="25" spans="1:7" x14ac:dyDescent="0.25">
      <c r="A25">
        <v>2423</v>
      </c>
      <c r="B25" s="3">
        <v>0</v>
      </c>
      <c r="C25" s="3">
        <f>B25*$K$4</f>
        <v>0</v>
      </c>
      <c r="D25" s="3">
        <f>(E24/$K$1)*$K$2*1</f>
        <v>0</v>
      </c>
      <c r="E25" s="3">
        <f t="shared" si="0"/>
        <v>0</v>
      </c>
      <c r="F25" s="3">
        <f>E25/$K$1</f>
        <v>0</v>
      </c>
      <c r="G25" s="5">
        <f t="shared" si="1"/>
        <v>101325</v>
      </c>
    </row>
    <row r="26" spans="1:7" x14ac:dyDescent="0.25">
      <c r="A26">
        <v>2424</v>
      </c>
      <c r="B26" s="3">
        <v>0</v>
      </c>
      <c r="C26" s="3">
        <f>B26*$K$4</f>
        <v>0</v>
      </c>
      <c r="D26" s="3">
        <f>(E25/$K$1)*$K$2*1</f>
        <v>0</v>
      </c>
      <c r="E26" s="3">
        <f t="shared" si="0"/>
        <v>0</v>
      </c>
      <c r="F26" s="3">
        <f>E26/$K$1</f>
        <v>0</v>
      </c>
      <c r="G26" s="5">
        <f t="shared" si="1"/>
        <v>101325</v>
      </c>
    </row>
    <row r="27" spans="1:7" x14ac:dyDescent="0.25">
      <c r="A27">
        <v>2425</v>
      </c>
      <c r="B27" s="3">
        <v>0</v>
      </c>
      <c r="C27" s="3">
        <f>B27*$K$4</f>
        <v>0</v>
      </c>
      <c r="D27" s="3">
        <f>(E26/$K$1)*$K$2*1</f>
        <v>0</v>
      </c>
      <c r="E27" s="3">
        <f t="shared" si="0"/>
        <v>0</v>
      </c>
      <c r="F27" s="3">
        <f>E27/$K$1</f>
        <v>0</v>
      </c>
      <c r="G27" s="5">
        <f t="shared" si="1"/>
        <v>101325</v>
      </c>
    </row>
    <row r="28" spans="1:7" x14ac:dyDescent="0.25">
      <c r="A28">
        <v>2426</v>
      </c>
      <c r="B28" s="3">
        <v>0</v>
      </c>
      <c r="C28" s="3">
        <f>B28*$K$4</f>
        <v>0</v>
      </c>
      <c r="D28" s="3">
        <f>(E27/$K$1)*$K$2*1</f>
        <v>0</v>
      </c>
      <c r="E28" s="3">
        <f t="shared" si="0"/>
        <v>0</v>
      </c>
      <c r="F28" s="3">
        <f>E28/$K$1</f>
        <v>0</v>
      </c>
      <c r="G28" s="5">
        <f t="shared" si="1"/>
        <v>101325</v>
      </c>
    </row>
    <row r="29" spans="1:7" x14ac:dyDescent="0.25">
      <c r="A29">
        <v>2427</v>
      </c>
      <c r="B29" s="3">
        <v>0</v>
      </c>
      <c r="C29" s="3">
        <f>B29*$K$4</f>
        <v>0</v>
      </c>
      <c r="D29" s="3">
        <f>(E28/$K$1)*$K$2*1</f>
        <v>0</v>
      </c>
      <c r="E29" s="3">
        <f t="shared" si="0"/>
        <v>0</v>
      </c>
      <c r="F29" s="3">
        <f>E29/$K$1</f>
        <v>0</v>
      </c>
      <c r="G29" s="5">
        <f t="shared" si="1"/>
        <v>101325</v>
      </c>
    </row>
    <row r="30" spans="1:7" x14ac:dyDescent="0.25">
      <c r="A30">
        <v>2428</v>
      </c>
      <c r="B30" s="3">
        <v>0</v>
      </c>
      <c r="C30" s="3">
        <f>B30*$K$4</f>
        <v>0</v>
      </c>
      <c r="D30" s="3">
        <f>(E29/$K$1)*$K$2*1</f>
        <v>0</v>
      </c>
      <c r="E30" s="3">
        <f t="shared" si="0"/>
        <v>0</v>
      </c>
      <c r="F30" s="3">
        <f>E30/$K$1</f>
        <v>0</v>
      </c>
      <c r="G30" s="5">
        <f t="shared" si="1"/>
        <v>101325</v>
      </c>
    </row>
    <row r="31" spans="1:7" x14ac:dyDescent="0.25">
      <c r="A31">
        <v>2429</v>
      </c>
      <c r="B31" s="3">
        <v>0</v>
      </c>
      <c r="C31" s="3">
        <f>B31*$K$4</f>
        <v>0</v>
      </c>
      <c r="D31" s="3">
        <f>(E30/$K$1)*$K$2*1</f>
        <v>0</v>
      </c>
      <c r="E31" s="3">
        <f t="shared" si="0"/>
        <v>0</v>
      </c>
      <c r="F31" s="3">
        <f>E31/$K$1</f>
        <v>0</v>
      </c>
      <c r="G31" s="5">
        <f t="shared" si="1"/>
        <v>101325</v>
      </c>
    </row>
    <row r="32" spans="1:7" x14ac:dyDescent="0.25">
      <c r="A32">
        <v>2430</v>
      </c>
      <c r="B32" s="3">
        <v>0</v>
      </c>
      <c r="C32" s="3">
        <f>B32*$K$4</f>
        <v>0</v>
      </c>
      <c r="D32" s="3">
        <f>(E31/$K$1)*$K$2*1</f>
        <v>0</v>
      </c>
      <c r="E32" s="3">
        <f t="shared" si="0"/>
        <v>0</v>
      </c>
      <c r="F32" s="3">
        <f>E32/$K$1</f>
        <v>0</v>
      </c>
      <c r="G32" s="5">
        <f t="shared" si="1"/>
        <v>101325</v>
      </c>
    </row>
    <row r="33" spans="1:7" x14ac:dyDescent="0.25">
      <c r="A33">
        <v>2431</v>
      </c>
      <c r="B33" s="3">
        <v>0</v>
      </c>
      <c r="C33" s="3">
        <f>B33*$K$4</f>
        <v>0</v>
      </c>
      <c r="D33" s="3">
        <f>(E32/$K$1)*$K$2*1</f>
        <v>0</v>
      </c>
      <c r="E33" s="3">
        <f t="shared" si="0"/>
        <v>0</v>
      </c>
      <c r="F33" s="3">
        <f>E33/$K$1</f>
        <v>0</v>
      </c>
      <c r="G33" s="5">
        <f t="shared" si="1"/>
        <v>101325</v>
      </c>
    </row>
    <row r="34" spans="1:7" x14ac:dyDescent="0.25">
      <c r="A34">
        <v>2432</v>
      </c>
      <c r="B34" s="3">
        <v>0</v>
      </c>
      <c r="C34" s="3">
        <f>B34*$K$4</f>
        <v>0</v>
      </c>
      <c r="D34" s="3">
        <f>(E33/$K$1)*$K$2*1</f>
        <v>0</v>
      </c>
      <c r="E34" s="3">
        <f t="shared" si="0"/>
        <v>0</v>
      </c>
      <c r="F34" s="3">
        <f>E34/$K$1</f>
        <v>0</v>
      </c>
      <c r="G34" s="5">
        <f t="shared" si="1"/>
        <v>101325</v>
      </c>
    </row>
    <row r="35" spans="1:7" x14ac:dyDescent="0.25">
      <c r="A35">
        <v>2433</v>
      </c>
      <c r="B35" s="3">
        <v>0</v>
      </c>
      <c r="C35" s="3">
        <f>B35*$K$4</f>
        <v>0</v>
      </c>
      <c r="D35" s="3">
        <f>(E34/$K$1)*$K$2*1</f>
        <v>0</v>
      </c>
      <c r="E35" s="3">
        <f t="shared" si="0"/>
        <v>0</v>
      </c>
      <c r="F35" s="3">
        <f>E35/$K$1</f>
        <v>0</v>
      </c>
      <c r="G35" s="5">
        <f t="shared" si="1"/>
        <v>101325</v>
      </c>
    </row>
    <row r="36" spans="1:7" x14ac:dyDescent="0.25">
      <c r="A36">
        <v>2434</v>
      </c>
      <c r="B36" s="3">
        <v>0</v>
      </c>
      <c r="C36" s="3">
        <f>B36*$K$4</f>
        <v>0</v>
      </c>
      <c r="D36" s="3">
        <f>(E35/$K$1)*$K$2*1</f>
        <v>0</v>
      </c>
      <c r="E36" s="3">
        <f t="shared" si="0"/>
        <v>0</v>
      </c>
      <c r="F36" s="3">
        <f>E36/$K$1</f>
        <v>0</v>
      </c>
      <c r="G36" s="5">
        <f t="shared" si="1"/>
        <v>101325</v>
      </c>
    </row>
    <row r="37" spans="1:7" x14ac:dyDescent="0.25">
      <c r="A37">
        <v>2435</v>
      </c>
      <c r="B37" s="3">
        <v>0</v>
      </c>
      <c r="C37" s="3">
        <f>B37*$K$4</f>
        <v>0</v>
      </c>
      <c r="D37" s="3">
        <f>(E36/$K$1)*$K$2*1</f>
        <v>0</v>
      </c>
      <c r="E37" s="3">
        <f t="shared" si="0"/>
        <v>0</v>
      </c>
      <c r="F37" s="3">
        <f>E37/$K$1</f>
        <v>0</v>
      </c>
      <c r="G37" s="5">
        <f t="shared" si="1"/>
        <v>101325</v>
      </c>
    </row>
    <row r="38" spans="1:7" x14ac:dyDescent="0.25">
      <c r="A38">
        <v>2436</v>
      </c>
      <c r="B38" s="3">
        <v>0</v>
      </c>
      <c r="C38" s="3">
        <f>B38*$K$4</f>
        <v>0</v>
      </c>
      <c r="D38" s="3">
        <f>(E37/$K$1)*$K$2*1</f>
        <v>0</v>
      </c>
      <c r="E38" s="3">
        <f t="shared" si="0"/>
        <v>0</v>
      </c>
      <c r="F38" s="3">
        <f>E38/$K$1</f>
        <v>0</v>
      </c>
      <c r="G38" s="5">
        <f t="shared" si="1"/>
        <v>101325</v>
      </c>
    </row>
    <row r="39" spans="1:7" x14ac:dyDescent="0.25">
      <c r="A39">
        <v>2437</v>
      </c>
      <c r="B39" s="3">
        <v>0</v>
      </c>
      <c r="C39" s="3">
        <f>B39*$K$4</f>
        <v>0</v>
      </c>
      <c r="D39" s="3">
        <f>(E38/$K$1)*$K$2*1</f>
        <v>0</v>
      </c>
      <c r="E39" s="3">
        <f t="shared" si="0"/>
        <v>0</v>
      </c>
      <c r="F39" s="3">
        <f>E39/$K$1</f>
        <v>0</v>
      </c>
      <c r="G39" s="5">
        <f t="shared" si="1"/>
        <v>101325</v>
      </c>
    </row>
    <row r="40" spans="1:7" x14ac:dyDescent="0.25">
      <c r="A40">
        <v>2438</v>
      </c>
      <c r="B40" s="3">
        <v>0</v>
      </c>
      <c r="C40" s="3">
        <f>B40*$K$4</f>
        <v>0</v>
      </c>
      <c r="D40" s="3">
        <f>(E39/$K$1)*$K$2*1</f>
        <v>0</v>
      </c>
      <c r="E40" s="3">
        <f t="shared" si="0"/>
        <v>0</v>
      </c>
      <c r="F40" s="3">
        <f>E40/$K$1</f>
        <v>0</v>
      </c>
      <c r="G40" s="5">
        <f t="shared" si="1"/>
        <v>101325</v>
      </c>
    </row>
    <row r="41" spans="1:7" x14ac:dyDescent="0.25">
      <c r="A41">
        <v>2439</v>
      </c>
      <c r="B41" s="3">
        <v>0</v>
      </c>
      <c r="C41" s="3">
        <f>B41*$K$4</f>
        <v>0</v>
      </c>
      <c r="D41" s="3">
        <f>(E40/$K$1)*$K$2*1</f>
        <v>0</v>
      </c>
      <c r="E41" s="3">
        <f t="shared" si="0"/>
        <v>0</v>
      </c>
      <c r="F41" s="3">
        <f>E41/$K$1</f>
        <v>0</v>
      </c>
      <c r="G41" s="5">
        <f t="shared" si="1"/>
        <v>101325</v>
      </c>
    </row>
    <row r="42" spans="1:7" x14ac:dyDescent="0.25">
      <c r="A42">
        <v>2440</v>
      </c>
      <c r="B42" s="3">
        <v>0</v>
      </c>
      <c r="C42" s="3">
        <f>B42*$K$4</f>
        <v>0</v>
      </c>
      <c r="D42" s="3">
        <f>(E41/$K$1)*$K$2*1</f>
        <v>0</v>
      </c>
      <c r="E42" s="3">
        <f t="shared" si="0"/>
        <v>0</v>
      </c>
      <c r="F42" s="3">
        <f>E42/$K$1</f>
        <v>0</v>
      </c>
      <c r="G42" s="5">
        <f t="shared" si="1"/>
        <v>101325</v>
      </c>
    </row>
    <row r="43" spans="1:7" x14ac:dyDescent="0.25">
      <c r="A43">
        <v>2441</v>
      </c>
      <c r="B43" s="3">
        <v>0</v>
      </c>
      <c r="C43" s="3">
        <f>B43*$K$4</f>
        <v>0</v>
      </c>
      <c r="D43" s="3">
        <f>(E42/$K$1)*$K$2*1</f>
        <v>0</v>
      </c>
      <c r="E43" s="3">
        <f t="shared" si="0"/>
        <v>0</v>
      </c>
      <c r="F43" s="3">
        <f>E43/$K$1</f>
        <v>0</v>
      </c>
      <c r="G43" s="5">
        <f t="shared" si="1"/>
        <v>101325</v>
      </c>
    </row>
    <row r="44" spans="1:7" x14ac:dyDescent="0.25">
      <c r="A44">
        <v>2442</v>
      </c>
      <c r="B44" s="3">
        <v>0</v>
      </c>
      <c r="C44" s="3">
        <f>B44*$K$4</f>
        <v>0</v>
      </c>
      <c r="D44" s="3">
        <f>(E43/$K$1)*$K$2*1</f>
        <v>0</v>
      </c>
      <c r="E44" s="3">
        <f t="shared" si="0"/>
        <v>0</v>
      </c>
      <c r="F44" s="3">
        <f>E44/$K$1</f>
        <v>0</v>
      </c>
      <c r="G44" s="5">
        <f t="shared" si="1"/>
        <v>101325</v>
      </c>
    </row>
    <row r="45" spans="1:7" x14ac:dyDescent="0.25">
      <c r="A45">
        <v>2443</v>
      </c>
      <c r="B45" s="3">
        <v>0</v>
      </c>
      <c r="C45" s="3">
        <f>B45*$K$4</f>
        <v>0</v>
      </c>
      <c r="D45" s="3">
        <f>(E44/$K$1)*$K$2*1</f>
        <v>0</v>
      </c>
      <c r="E45" s="3">
        <f t="shared" si="0"/>
        <v>0</v>
      </c>
      <c r="F45" s="3">
        <f>E45/$K$1</f>
        <v>0</v>
      </c>
      <c r="G45" s="5">
        <f t="shared" si="1"/>
        <v>101325</v>
      </c>
    </row>
    <row r="46" spans="1:7" x14ac:dyDescent="0.25">
      <c r="A46">
        <v>2444</v>
      </c>
      <c r="B46" s="3">
        <v>0</v>
      </c>
      <c r="C46" s="3">
        <f>B46*$K$4</f>
        <v>0</v>
      </c>
      <c r="D46" s="3">
        <f>(E45/$K$1)*$K$2*1</f>
        <v>0</v>
      </c>
      <c r="E46" s="3">
        <f t="shared" si="0"/>
        <v>0</v>
      </c>
      <c r="F46" s="3">
        <f>E46/$K$1</f>
        <v>0</v>
      </c>
      <c r="G46" s="5">
        <f t="shared" si="1"/>
        <v>101325</v>
      </c>
    </row>
    <row r="47" spans="1:7" x14ac:dyDescent="0.25">
      <c r="A47">
        <v>2445</v>
      </c>
      <c r="B47" s="3">
        <v>0</v>
      </c>
      <c r="C47" s="3">
        <f>B47*$K$4</f>
        <v>0</v>
      </c>
      <c r="D47" s="3">
        <f>(E46/$K$1)*$K$2*1</f>
        <v>0</v>
      </c>
      <c r="E47" s="3">
        <f t="shared" si="0"/>
        <v>0</v>
      </c>
      <c r="F47" s="3">
        <f>E47/$K$1</f>
        <v>0</v>
      </c>
      <c r="G47" s="5">
        <f t="shared" si="1"/>
        <v>101325</v>
      </c>
    </row>
    <row r="48" spans="1:7" x14ac:dyDescent="0.25">
      <c r="A48">
        <v>2446</v>
      </c>
      <c r="B48" s="3">
        <v>0</v>
      </c>
      <c r="C48" s="3">
        <f>B48*$K$4</f>
        <v>0</v>
      </c>
      <c r="D48" s="3">
        <f>(E47/$K$1)*$K$2*1</f>
        <v>0</v>
      </c>
      <c r="E48" s="3">
        <f t="shared" si="0"/>
        <v>0</v>
      </c>
      <c r="F48" s="3">
        <f>E48/$K$1</f>
        <v>0</v>
      </c>
      <c r="G48" s="5">
        <f t="shared" si="1"/>
        <v>101325</v>
      </c>
    </row>
    <row r="49" spans="1:7" x14ac:dyDescent="0.25">
      <c r="A49">
        <v>2447</v>
      </c>
      <c r="B49" s="3">
        <v>0</v>
      </c>
      <c r="C49" s="3">
        <f>B49*$K$4</f>
        <v>0</v>
      </c>
      <c r="D49" s="3">
        <f>(E48/$K$1)*$K$2*1</f>
        <v>0</v>
      </c>
      <c r="E49" s="3">
        <f t="shared" si="0"/>
        <v>0</v>
      </c>
      <c r="F49" s="3">
        <f>E49/$K$1</f>
        <v>0</v>
      </c>
      <c r="G49" s="5">
        <f t="shared" si="1"/>
        <v>101325</v>
      </c>
    </row>
    <row r="50" spans="1:7" x14ac:dyDescent="0.25">
      <c r="A50">
        <v>2448</v>
      </c>
      <c r="B50" s="3">
        <v>0</v>
      </c>
      <c r="C50" s="3">
        <f>B50*$K$4</f>
        <v>0</v>
      </c>
      <c r="D50" s="3">
        <f>(E49/$K$1)*$K$2*1</f>
        <v>0</v>
      </c>
      <c r="E50" s="3">
        <f t="shared" si="0"/>
        <v>0</v>
      </c>
      <c r="F50" s="3">
        <f>E50/$K$1</f>
        <v>0</v>
      </c>
      <c r="G50" s="5">
        <f t="shared" si="1"/>
        <v>101325</v>
      </c>
    </row>
    <row r="51" spans="1:7" x14ac:dyDescent="0.25">
      <c r="A51">
        <v>2449</v>
      </c>
      <c r="B51" s="3">
        <v>0</v>
      </c>
      <c r="C51" s="3">
        <f>B51*$K$4</f>
        <v>0</v>
      </c>
      <c r="D51" s="3">
        <f>(E50/$K$1)*$K$2*1</f>
        <v>0</v>
      </c>
      <c r="E51" s="3">
        <f t="shared" si="0"/>
        <v>0</v>
      </c>
      <c r="F51" s="3">
        <f>E51/$K$1</f>
        <v>0</v>
      </c>
      <c r="G51" s="5">
        <f t="shared" si="1"/>
        <v>101325</v>
      </c>
    </row>
    <row r="52" spans="1:7" x14ac:dyDescent="0.25">
      <c r="A52">
        <v>2450</v>
      </c>
      <c r="B52" s="3">
        <v>0</v>
      </c>
      <c r="C52" s="3">
        <f>B52*$K$4</f>
        <v>0</v>
      </c>
      <c r="D52" s="3">
        <f>(E51/$K$1)*$K$2*1</f>
        <v>0</v>
      </c>
      <c r="E52" s="3">
        <f t="shared" si="0"/>
        <v>0</v>
      </c>
      <c r="F52" s="3">
        <f>E52/$K$1</f>
        <v>0</v>
      </c>
      <c r="G52" s="5">
        <f t="shared" si="1"/>
        <v>101325</v>
      </c>
    </row>
    <row r="53" spans="1:7" x14ac:dyDescent="0.25">
      <c r="A53">
        <v>2451</v>
      </c>
      <c r="B53" s="3">
        <v>0</v>
      </c>
      <c r="C53" s="3">
        <f>B53*$K$4</f>
        <v>0</v>
      </c>
      <c r="D53" s="3">
        <f>(E52/$K$1)*$K$2*1</f>
        <v>0</v>
      </c>
      <c r="E53" s="3">
        <f t="shared" si="0"/>
        <v>0</v>
      </c>
      <c r="F53" s="3">
        <f>E53/$K$1</f>
        <v>0</v>
      </c>
      <c r="G53" s="5">
        <f t="shared" si="1"/>
        <v>101325</v>
      </c>
    </row>
    <row r="54" spans="1:7" x14ac:dyDescent="0.25">
      <c r="A54">
        <v>2452</v>
      </c>
      <c r="B54" s="3">
        <v>0</v>
      </c>
      <c r="C54" s="3">
        <f>B54*$K$4</f>
        <v>0</v>
      </c>
      <c r="D54" s="3">
        <f>(E53/$K$1)*$K$2*1</f>
        <v>0</v>
      </c>
      <c r="E54" s="3">
        <f t="shared" si="0"/>
        <v>0</v>
      </c>
      <c r="F54" s="3">
        <f>E54/$K$1</f>
        <v>0</v>
      </c>
      <c r="G54" s="5">
        <f t="shared" si="1"/>
        <v>101325</v>
      </c>
    </row>
    <row r="55" spans="1:7" x14ac:dyDescent="0.25">
      <c r="A55">
        <v>2453</v>
      </c>
      <c r="B55" s="3">
        <v>0</v>
      </c>
      <c r="C55" s="3">
        <f>B55*$K$4</f>
        <v>0</v>
      </c>
      <c r="D55" s="3">
        <f>(E54/$K$1)*$K$2*1</f>
        <v>0</v>
      </c>
      <c r="E55" s="3">
        <f t="shared" si="0"/>
        <v>0</v>
      </c>
      <c r="F55" s="3">
        <f>E55/$K$1</f>
        <v>0</v>
      </c>
      <c r="G55" s="5">
        <f t="shared" si="1"/>
        <v>101325</v>
      </c>
    </row>
    <row r="56" spans="1:7" x14ac:dyDescent="0.25">
      <c r="A56">
        <v>2454</v>
      </c>
      <c r="B56" s="3">
        <v>0</v>
      </c>
      <c r="C56" s="3">
        <f>B56*$K$4</f>
        <v>0</v>
      </c>
      <c r="D56" s="3">
        <f>(E55/$K$1)*$K$2*1</f>
        <v>0</v>
      </c>
      <c r="E56" s="3">
        <f t="shared" si="0"/>
        <v>0</v>
      </c>
      <c r="F56" s="3">
        <f>E56/$K$1</f>
        <v>0</v>
      </c>
      <c r="G56" s="5">
        <f t="shared" si="1"/>
        <v>101325</v>
      </c>
    </row>
    <row r="57" spans="1:7" x14ac:dyDescent="0.25">
      <c r="A57">
        <v>2455</v>
      </c>
      <c r="B57" s="3">
        <v>0</v>
      </c>
      <c r="C57" s="3">
        <f>B57*$K$4</f>
        <v>0</v>
      </c>
      <c r="D57" s="3">
        <f>(E56/$K$1)*$K$2*1</f>
        <v>0</v>
      </c>
      <c r="E57" s="3">
        <f t="shared" si="0"/>
        <v>0</v>
      </c>
      <c r="F57" s="3">
        <f>E57/$K$1</f>
        <v>0</v>
      </c>
      <c r="G57" s="5">
        <f t="shared" si="1"/>
        <v>101325</v>
      </c>
    </row>
    <row r="58" spans="1:7" x14ac:dyDescent="0.25">
      <c r="A58">
        <v>2456</v>
      </c>
      <c r="B58" s="3">
        <v>0</v>
      </c>
      <c r="C58" s="3">
        <f>B58*$K$4</f>
        <v>0</v>
      </c>
      <c r="D58" s="3">
        <f>(E57/$K$1)*$K$2*1</f>
        <v>0</v>
      </c>
      <c r="E58" s="3">
        <f t="shared" si="0"/>
        <v>0</v>
      </c>
      <c r="F58" s="3">
        <f>E58/$K$1</f>
        <v>0</v>
      </c>
      <c r="G58" s="5">
        <f t="shared" si="1"/>
        <v>101325</v>
      </c>
    </row>
    <row r="59" spans="1:7" x14ac:dyDescent="0.25">
      <c r="A59">
        <v>2457</v>
      </c>
      <c r="B59" s="3">
        <v>0</v>
      </c>
      <c r="C59" s="3">
        <f>B59*$K$4</f>
        <v>0</v>
      </c>
      <c r="D59" s="3">
        <f>(E58/$K$1)*$K$2*1</f>
        <v>0</v>
      </c>
      <c r="E59" s="3">
        <f t="shared" si="0"/>
        <v>0</v>
      </c>
      <c r="F59" s="3">
        <f>E59/$K$1</f>
        <v>0</v>
      </c>
      <c r="G59" s="5">
        <f t="shared" si="1"/>
        <v>101325</v>
      </c>
    </row>
    <row r="60" spans="1:7" x14ac:dyDescent="0.25">
      <c r="A60">
        <v>2458</v>
      </c>
      <c r="B60" s="3">
        <v>0</v>
      </c>
      <c r="C60" s="3">
        <f>B60*$K$4</f>
        <v>0</v>
      </c>
      <c r="D60" s="3">
        <f>(E59/$K$1)*$K$2*1</f>
        <v>0</v>
      </c>
      <c r="E60" s="3">
        <f t="shared" si="0"/>
        <v>0</v>
      </c>
      <c r="F60" s="3">
        <f>E60/$K$1</f>
        <v>0</v>
      </c>
      <c r="G60" s="5">
        <f t="shared" si="1"/>
        <v>101325</v>
      </c>
    </row>
    <row r="61" spans="1:7" x14ac:dyDescent="0.25">
      <c r="A61">
        <v>2459</v>
      </c>
      <c r="B61" s="3">
        <v>0</v>
      </c>
      <c r="C61" s="3">
        <f>B61*$K$4</f>
        <v>0</v>
      </c>
      <c r="D61" s="3">
        <f>(E60/$K$1)*$K$2*1</f>
        <v>0</v>
      </c>
      <c r="E61" s="3">
        <f t="shared" si="0"/>
        <v>0</v>
      </c>
      <c r="F61" s="3">
        <f>E61/$K$1</f>
        <v>0</v>
      </c>
      <c r="G61" s="5">
        <f t="shared" si="1"/>
        <v>101325</v>
      </c>
    </row>
    <row r="62" spans="1:7" x14ac:dyDescent="0.25">
      <c r="A62">
        <v>2460</v>
      </c>
      <c r="B62" s="3">
        <v>0</v>
      </c>
      <c r="C62" s="3">
        <f>B62*$K$4</f>
        <v>0</v>
      </c>
      <c r="D62" s="3">
        <f>(E61/$K$1)*$K$2*1</f>
        <v>0</v>
      </c>
      <c r="E62" s="3">
        <f t="shared" si="0"/>
        <v>0</v>
      </c>
      <c r="F62" s="3">
        <f>E62/$K$1</f>
        <v>0</v>
      </c>
      <c r="G62" s="5">
        <f t="shared" si="1"/>
        <v>101325</v>
      </c>
    </row>
    <row r="63" spans="1:7" x14ac:dyDescent="0.25">
      <c r="A63">
        <v>2461</v>
      </c>
      <c r="B63" s="3">
        <v>0</v>
      </c>
      <c r="C63" s="3">
        <f>B63*$K$4</f>
        <v>0</v>
      </c>
      <c r="D63" s="3">
        <f>(E62/$K$1)*$K$2*1</f>
        <v>0</v>
      </c>
      <c r="E63" s="3">
        <f t="shared" si="0"/>
        <v>0</v>
      </c>
      <c r="F63" s="3">
        <f>E63/$K$1</f>
        <v>0</v>
      </c>
      <c r="G63" s="5">
        <f t="shared" si="1"/>
        <v>101325</v>
      </c>
    </row>
    <row r="64" spans="1:7" x14ac:dyDescent="0.25">
      <c r="A64">
        <v>2462</v>
      </c>
      <c r="B64" s="3">
        <v>0</v>
      </c>
      <c r="C64" s="3">
        <f>B64*$K$4</f>
        <v>0</v>
      </c>
      <c r="D64" s="3">
        <f>(E63/$K$1)*$K$2*1</f>
        <v>0</v>
      </c>
      <c r="E64" s="3">
        <f t="shared" si="0"/>
        <v>0</v>
      </c>
      <c r="F64" s="3">
        <f>E64/$K$1</f>
        <v>0</v>
      </c>
      <c r="G64" s="5">
        <f t="shared" si="1"/>
        <v>101325</v>
      </c>
    </row>
    <row r="65" spans="1:7" x14ac:dyDescent="0.25">
      <c r="A65">
        <v>2463</v>
      </c>
      <c r="B65" s="3">
        <v>0</v>
      </c>
      <c r="C65" s="3">
        <f>B65*$K$4</f>
        <v>0</v>
      </c>
      <c r="D65" s="3">
        <f>(E64/$K$1)*$K$2*1</f>
        <v>0</v>
      </c>
      <c r="E65" s="3">
        <f t="shared" si="0"/>
        <v>0</v>
      </c>
      <c r="F65" s="3">
        <f>E65/$K$1</f>
        <v>0</v>
      </c>
      <c r="G65" s="5">
        <f t="shared" si="1"/>
        <v>101325</v>
      </c>
    </row>
    <row r="66" spans="1:7" x14ac:dyDescent="0.25">
      <c r="A66">
        <v>2464</v>
      </c>
      <c r="B66" s="3">
        <v>0</v>
      </c>
      <c r="C66" s="3">
        <f>B66*$K$4</f>
        <v>0</v>
      </c>
      <c r="D66" s="3">
        <f>(E65/$K$1)*$K$2*1</f>
        <v>0</v>
      </c>
      <c r="E66" s="3">
        <f t="shared" si="0"/>
        <v>0</v>
      </c>
      <c r="F66" s="3">
        <f>E66/$K$1</f>
        <v>0</v>
      </c>
      <c r="G66" s="5">
        <f t="shared" si="1"/>
        <v>101325</v>
      </c>
    </row>
    <row r="67" spans="1:7" x14ac:dyDescent="0.25">
      <c r="A67">
        <v>2465</v>
      </c>
      <c r="B67" s="3">
        <v>0</v>
      </c>
      <c r="C67" s="3">
        <f>B67*$K$4</f>
        <v>0</v>
      </c>
      <c r="D67" s="3">
        <f>(E66/$K$1)*$K$2*1</f>
        <v>0</v>
      </c>
      <c r="E67" s="3">
        <f t="shared" si="0"/>
        <v>0</v>
      </c>
      <c r="F67" s="3">
        <f>E67/$K$1</f>
        <v>0</v>
      </c>
      <c r="G67" s="5">
        <f t="shared" si="1"/>
        <v>101325</v>
      </c>
    </row>
    <row r="68" spans="1:7" x14ac:dyDescent="0.25">
      <c r="A68">
        <v>2466</v>
      </c>
      <c r="B68" s="3">
        <v>0</v>
      </c>
      <c r="C68" s="3">
        <f>B68*$K$4</f>
        <v>0</v>
      </c>
      <c r="D68" s="3">
        <f>(E67/$K$1)*$K$2*1</f>
        <v>0</v>
      </c>
      <c r="E68" s="3">
        <f t="shared" ref="E68:E131" si="2">E67+C68-D68</f>
        <v>0</v>
      </c>
      <c r="F68" s="3">
        <f>E68/$K$1</f>
        <v>0</v>
      </c>
      <c r="G68" s="5">
        <f t="shared" ref="G68:G131" si="3">G67+C68-$K$5*$K$9*SQRT(MAX(0,2*$K$6*(G67-$K$11)))</f>
        <v>101325</v>
      </c>
    </row>
    <row r="69" spans="1:7" x14ac:dyDescent="0.25">
      <c r="A69">
        <v>2467</v>
      </c>
      <c r="B69" s="3">
        <v>0</v>
      </c>
      <c r="C69" s="3">
        <f>B69*$K$4</f>
        <v>0</v>
      </c>
      <c r="D69" s="3">
        <f>(E68/$K$1)*$K$2*1</f>
        <v>0</v>
      </c>
      <c r="E69" s="3">
        <f t="shared" si="2"/>
        <v>0</v>
      </c>
      <c r="F69" s="3">
        <f>E69/$K$1</f>
        <v>0</v>
      </c>
      <c r="G69" s="5">
        <f t="shared" si="3"/>
        <v>101325</v>
      </c>
    </row>
    <row r="70" spans="1:7" x14ac:dyDescent="0.25">
      <c r="A70">
        <v>2468</v>
      </c>
      <c r="B70" s="3">
        <v>0</v>
      </c>
      <c r="C70" s="3">
        <f>B70*$K$4</f>
        <v>0</v>
      </c>
      <c r="D70" s="3">
        <f>(E69/$K$1)*$K$2*1</f>
        <v>0</v>
      </c>
      <c r="E70" s="3">
        <f t="shared" si="2"/>
        <v>0</v>
      </c>
      <c r="F70" s="3">
        <f>E70/$K$1</f>
        <v>0</v>
      </c>
      <c r="G70" s="5">
        <f t="shared" si="3"/>
        <v>101325</v>
      </c>
    </row>
    <row r="71" spans="1:7" x14ac:dyDescent="0.25">
      <c r="A71">
        <v>2469</v>
      </c>
      <c r="B71" s="3">
        <v>0</v>
      </c>
      <c r="C71" s="3">
        <f>B71*$K$4</f>
        <v>0</v>
      </c>
      <c r="D71" s="3">
        <f>(E70/$K$1)*$K$2*1</f>
        <v>0</v>
      </c>
      <c r="E71" s="3">
        <f t="shared" si="2"/>
        <v>0</v>
      </c>
      <c r="F71" s="3">
        <f>E71/$K$1</f>
        <v>0</v>
      </c>
      <c r="G71" s="5">
        <f t="shared" si="3"/>
        <v>101325</v>
      </c>
    </row>
    <row r="72" spans="1:7" x14ac:dyDescent="0.25">
      <c r="A72">
        <v>2470</v>
      </c>
      <c r="B72" s="3">
        <v>0</v>
      </c>
      <c r="C72" s="3">
        <f>B72*$K$4</f>
        <v>0</v>
      </c>
      <c r="D72" s="3">
        <f>(E71/$K$1)*$K$2*1</f>
        <v>0</v>
      </c>
      <c r="E72" s="3">
        <f t="shared" si="2"/>
        <v>0</v>
      </c>
      <c r="F72" s="3">
        <f>E72/$K$1</f>
        <v>0</v>
      </c>
      <c r="G72" s="5">
        <f t="shared" si="3"/>
        <v>101325</v>
      </c>
    </row>
    <row r="73" spans="1:7" x14ac:dyDescent="0.25">
      <c r="A73">
        <v>2471</v>
      </c>
      <c r="B73" s="3">
        <v>0</v>
      </c>
      <c r="C73" s="3">
        <f>B73*$K$4</f>
        <v>0</v>
      </c>
      <c r="D73" s="3">
        <f>(E72/$K$1)*$K$2*1</f>
        <v>0</v>
      </c>
      <c r="E73" s="3">
        <f t="shared" si="2"/>
        <v>0</v>
      </c>
      <c r="F73" s="3">
        <f>E73/$K$1</f>
        <v>0</v>
      </c>
      <c r="G73" s="5">
        <f t="shared" si="3"/>
        <v>101325</v>
      </c>
    </row>
    <row r="74" spans="1:7" x14ac:dyDescent="0.25">
      <c r="A74">
        <v>2472</v>
      </c>
      <c r="B74" s="3">
        <v>0</v>
      </c>
      <c r="C74" s="3">
        <f>B74*$K$4</f>
        <v>0</v>
      </c>
      <c r="D74" s="3">
        <f>(E73/$K$1)*$K$2*1</f>
        <v>0</v>
      </c>
      <c r="E74" s="3">
        <f t="shared" si="2"/>
        <v>0</v>
      </c>
      <c r="F74" s="3">
        <f>E74/$K$1</f>
        <v>0</v>
      </c>
      <c r="G74" s="5">
        <f t="shared" si="3"/>
        <v>101325</v>
      </c>
    </row>
    <row r="75" spans="1:7" x14ac:dyDescent="0.25">
      <c r="A75">
        <v>2473</v>
      </c>
      <c r="B75" s="3">
        <v>0</v>
      </c>
      <c r="C75" s="3">
        <f>B75*$K$4</f>
        <v>0</v>
      </c>
      <c r="D75" s="3">
        <f>(E74/$K$1)*$K$2*1</f>
        <v>0</v>
      </c>
      <c r="E75" s="3">
        <f t="shared" si="2"/>
        <v>0</v>
      </c>
      <c r="F75" s="3">
        <f>E75/$K$1</f>
        <v>0</v>
      </c>
      <c r="G75" s="5">
        <f t="shared" si="3"/>
        <v>101325</v>
      </c>
    </row>
    <row r="76" spans="1:7" x14ac:dyDescent="0.25">
      <c r="A76">
        <v>2474</v>
      </c>
      <c r="B76" s="3">
        <v>0</v>
      </c>
      <c r="C76" s="3">
        <f>B76*$K$4</f>
        <v>0</v>
      </c>
      <c r="D76" s="3">
        <f>(E75/$K$1)*$K$2*1</f>
        <v>0</v>
      </c>
      <c r="E76" s="3">
        <f t="shared" si="2"/>
        <v>0</v>
      </c>
      <c r="F76" s="3">
        <f>E76/$K$1</f>
        <v>0</v>
      </c>
      <c r="G76" s="5">
        <f t="shared" si="3"/>
        <v>101325</v>
      </c>
    </row>
    <row r="77" spans="1:7" x14ac:dyDescent="0.25">
      <c r="A77">
        <v>2475</v>
      </c>
      <c r="B77" s="3">
        <v>0</v>
      </c>
      <c r="C77" s="3">
        <f>B77*$K$4</f>
        <v>0</v>
      </c>
      <c r="D77" s="3">
        <f>(E76/$K$1)*$K$2*1</f>
        <v>0</v>
      </c>
      <c r="E77" s="3">
        <f t="shared" si="2"/>
        <v>0</v>
      </c>
      <c r="F77" s="3">
        <f>E77/$K$1</f>
        <v>0</v>
      </c>
      <c r="G77" s="5">
        <f t="shared" si="3"/>
        <v>101325</v>
      </c>
    </row>
    <row r="78" spans="1:7" x14ac:dyDescent="0.25">
      <c r="A78">
        <v>2476</v>
      </c>
      <c r="B78" s="3">
        <v>0</v>
      </c>
      <c r="C78" s="3">
        <f>B78*$K$4</f>
        <v>0</v>
      </c>
      <c r="D78" s="3">
        <f>(E77/$K$1)*$K$2*1</f>
        <v>0</v>
      </c>
      <c r="E78" s="3">
        <f t="shared" si="2"/>
        <v>0</v>
      </c>
      <c r="F78" s="3">
        <f>E78/$K$1</f>
        <v>0</v>
      </c>
      <c r="G78" s="5">
        <f t="shared" si="3"/>
        <v>101325</v>
      </c>
    </row>
    <row r="79" spans="1:7" x14ac:dyDescent="0.25">
      <c r="A79">
        <v>2477</v>
      </c>
      <c r="B79" s="3">
        <v>0</v>
      </c>
      <c r="C79" s="3">
        <f>B79*$K$4</f>
        <v>0</v>
      </c>
      <c r="D79" s="3">
        <f>(E78/$K$1)*$K$2*1</f>
        <v>0</v>
      </c>
      <c r="E79" s="3">
        <f t="shared" si="2"/>
        <v>0</v>
      </c>
      <c r="F79" s="3">
        <f>E79/$K$1</f>
        <v>0</v>
      </c>
      <c r="G79" s="5">
        <f t="shared" si="3"/>
        <v>101325</v>
      </c>
    </row>
    <row r="80" spans="1:7" x14ac:dyDescent="0.25">
      <c r="A80">
        <v>2478</v>
      </c>
      <c r="B80" s="3">
        <v>0</v>
      </c>
      <c r="C80" s="3">
        <f>B80*$K$4</f>
        <v>0</v>
      </c>
      <c r="D80" s="3">
        <f>(E79/$K$1)*$K$2*1</f>
        <v>0</v>
      </c>
      <c r="E80" s="3">
        <f t="shared" si="2"/>
        <v>0</v>
      </c>
      <c r="F80" s="3">
        <f>E80/$K$1</f>
        <v>0</v>
      </c>
      <c r="G80" s="5">
        <f t="shared" si="3"/>
        <v>101325</v>
      </c>
    </row>
    <row r="81" spans="1:7" x14ac:dyDescent="0.25">
      <c r="A81">
        <v>2479</v>
      </c>
      <c r="B81" s="3">
        <v>0</v>
      </c>
      <c r="C81" s="3">
        <f>B81*$K$4</f>
        <v>0</v>
      </c>
      <c r="D81" s="3">
        <f>(E80/$K$1)*$K$2*1</f>
        <v>0</v>
      </c>
      <c r="E81" s="3">
        <f t="shared" si="2"/>
        <v>0</v>
      </c>
      <c r="F81" s="3">
        <f>E81/$K$1</f>
        <v>0</v>
      </c>
      <c r="G81" s="5">
        <f t="shared" si="3"/>
        <v>101325</v>
      </c>
    </row>
    <row r="82" spans="1:7" x14ac:dyDescent="0.25">
      <c r="A82">
        <v>2480</v>
      </c>
      <c r="B82" s="3">
        <v>0</v>
      </c>
      <c r="C82" s="3">
        <f>B82*$K$4</f>
        <v>0</v>
      </c>
      <c r="D82" s="3">
        <f>(E81/$K$1)*$K$2*1</f>
        <v>0</v>
      </c>
      <c r="E82" s="3">
        <f t="shared" si="2"/>
        <v>0</v>
      </c>
      <c r="F82" s="3">
        <f>E82/$K$1</f>
        <v>0</v>
      </c>
      <c r="G82" s="5">
        <f t="shared" si="3"/>
        <v>101325</v>
      </c>
    </row>
    <row r="83" spans="1:7" x14ac:dyDescent="0.25">
      <c r="A83">
        <v>2481</v>
      </c>
      <c r="B83" s="3">
        <v>0</v>
      </c>
      <c r="C83" s="3">
        <f>B83*$K$4</f>
        <v>0</v>
      </c>
      <c r="D83" s="3">
        <f>(E82/$K$1)*$K$2*1</f>
        <v>0</v>
      </c>
      <c r="E83" s="3">
        <f t="shared" si="2"/>
        <v>0</v>
      </c>
      <c r="F83" s="3">
        <f>E83/$K$1</f>
        <v>0</v>
      </c>
      <c r="G83" s="5">
        <f t="shared" si="3"/>
        <v>101325</v>
      </c>
    </row>
    <row r="84" spans="1:7" x14ac:dyDescent="0.25">
      <c r="A84">
        <v>2482</v>
      </c>
      <c r="B84" s="3">
        <v>0</v>
      </c>
      <c r="C84" s="3">
        <f>B84*$K$4</f>
        <v>0</v>
      </c>
      <c r="D84" s="3">
        <f>(E83/$K$1)*$K$2*1</f>
        <v>0</v>
      </c>
      <c r="E84" s="3">
        <f t="shared" si="2"/>
        <v>0</v>
      </c>
      <c r="F84" s="3">
        <f>E84/$K$1</f>
        <v>0</v>
      </c>
      <c r="G84" s="5">
        <f t="shared" si="3"/>
        <v>101325</v>
      </c>
    </row>
    <row r="85" spans="1:7" x14ac:dyDescent="0.25">
      <c r="A85">
        <v>2483</v>
      </c>
      <c r="B85" s="3">
        <v>0</v>
      </c>
      <c r="C85" s="3">
        <f>B85*$K$4</f>
        <v>0</v>
      </c>
      <c r="D85" s="3">
        <f>(E84/$K$1)*$K$2*1</f>
        <v>0</v>
      </c>
      <c r="E85" s="3">
        <f t="shared" si="2"/>
        <v>0</v>
      </c>
      <c r="F85" s="3">
        <f>E85/$K$1</f>
        <v>0</v>
      </c>
      <c r="G85" s="5">
        <f t="shared" si="3"/>
        <v>101325</v>
      </c>
    </row>
    <row r="86" spans="1:7" x14ac:dyDescent="0.25">
      <c r="A86">
        <v>2484</v>
      </c>
      <c r="B86" s="3">
        <v>0</v>
      </c>
      <c r="C86" s="3">
        <f>B86*$K$4</f>
        <v>0</v>
      </c>
      <c r="D86" s="3">
        <f>(E85/$K$1)*$K$2*1</f>
        <v>0</v>
      </c>
      <c r="E86" s="3">
        <f t="shared" si="2"/>
        <v>0</v>
      </c>
      <c r="F86" s="3">
        <f>E86/$K$1</f>
        <v>0</v>
      </c>
      <c r="G86" s="5">
        <f t="shared" si="3"/>
        <v>101325</v>
      </c>
    </row>
    <row r="87" spans="1:7" x14ac:dyDescent="0.25">
      <c r="A87">
        <v>2485</v>
      </c>
      <c r="B87" s="3">
        <v>0</v>
      </c>
      <c r="C87" s="3">
        <f>B87*$K$4</f>
        <v>0</v>
      </c>
      <c r="D87" s="3">
        <f>(E86/$K$1)*$K$2*1</f>
        <v>0</v>
      </c>
      <c r="E87" s="3">
        <f t="shared" si="2"/>
        <v>0</v>
      </c>
      <c r="F87" s="3">
        <f>E87/$K$1</f>
        <v>0</v>
      </c>
      <c r="G87" s="5">
        <f t="shared" si="3"/>
        <v>101325</v>
      </c>
    </row>
    <row r="88" spans="1:7" x14ac:dyDescent="0.25">
      <c r="A88">
        <v>2486</v>
      </c>
      <c r="B88" s="3">
        <v>0</v>
      </c>
      <c r="C88" s="3">
        <f>B88*$K$4</f>
        <v>0</v>
      </c>
      <c r="D88" s="3">
        <f>(E87/$K$1)*$K$2*1</f>
        <v>0</v>
      </c>
      <c r="E88" s="3">
        <f t="shared" si="2"/>
        <v>0</v>
      </c>
      <c r="F88" s="3">
        <f>E88/$K$1</f>
        <v>0</v>
      </c>
      <c r="G88" s="5">
        <f t="shared" si="3"/>
        <v>101325</v>
      </c>
    </row>
    <row r="89" spans="1:7" x14ac:dyDescent="0.25">
      <c r="A89">
        <v>2487</v>
      </c>
      <c r="B89" s="3">
        <v>0</v>
      </c>
      <c r="C89" s="3">
        <f>B89*$K$4</f>
        <v>0</v>
      </c>
      <c r="D89" s="3">
        <f>(E88/$K$1)*$K$2*1</f>
        <v>0</v>
      </c>
      <c r="E89" s="3">
        <f t="shared" si="2"/>
        <v>0</v>
      </c>
      <c r="F89" s="3">
        <f>E89/$K$1</f>
        <v>0</v>
      </c>
      <c r="G89" s="5">
        <f t="shared" si="3"/>
        <v>101325</v>
      </c>
    </row>
    <row r="90" spans="1:7" x14ac:dyDescent="0.25">
      <c r="A90">
        <v>2488</v>
      </c>
      <c r="B90" s="3">
        <v>0</v>
      </c>
      <c r="C90" s="3">
        <f>B90*$K$4</f>
        <v>0</v>
      </c>
      <c r="D90" s="3">
        <f>(E89/$K$1)*$K$2*1</f>
        <v>0</v>
      </c>
      <c r="E90" s="3">
        <f t="shared" si="2"/>
        <v>0</v>
      </c>
      <c r="F90" s="3">
        <f>E90/$K$1</f>
        <v>0</v>
      </c>
      <c r="G90" s="5">
        <f t="shared" si="3"/>
        <v>101325</v>
      </c>
    </row>
    <row r="91" spans="1:7" x14ac:dyDescent="0.25">
      <c r="A91">
        <v>2489</v>
      </c>
      <c r="B91" s="3">
        <v>0</v>
      </c>
      <c r="C91" s="3">
        <f>B91*$K$4</f>
        <v>0</v>
      </c>
      <c r="D91" s="3">
        <f>(E90/$K$1)*$K$2*1</f>
        <v>0</v>
      </c>
      <c r="E91" s="3">
        <f t="shared" si="2"/>
        <v>0</v>
      </c>
      <c r="F91" s="3">
        <f>E91/$K$1</f>
        <v>0</v>
      </c>
      <c r="G91" s="5">
        <f t="shared" si="3"/>
        <v>101325</v>
      </c>
    </row>
    <row r="92" spans="1:7" x14ac:dyDescent="0.25">
      <c r="A92">
        <v>2490</v>
      </c>
      <c r="B92" s="3">
        <v>0</v>
      </c>
      <c r="C92" s="3">
        <f>B92*$K$4</f>
        <v>0</v>
      </c>
      <c r="D92" s="3">
        <f>(E91/$K$1)*$K$2*1</f>
        <v>0</v>
      </c>
      <c r="E92" s="3">
        <f t="shared" si="2"/>
        <v>0</v>
      </c>
      <c r="F92" s="3">
        <f>E92/$K$1</f>
        <v>0</v>
      </c>
      <c r="G92" s="5">
        <f t="shared" si="3"/>
        <v>101325</v>
      </c>
    </row>
    <row r="93" spans="1:7" x14ac:dyDescent="0.25">
      <c r="A93">
        <v>2491</v>
      </c>
      <c r="B93" s="3">
        <v>0</v>
      </c>
      <c r="C93" s="3">
        <f>B93*$K$4</f>
        <v>0</v>
      </c>
      <c r="D93" s="3">
        <f>(E92/$K$1)*$K$2*1</f>
        <v>0</v>
      </c>
      <c r="E93" s="3">
        <f t="shared" si="2"/>
        <v>0</v>
      </c>
      <c r="F93" s="3">
        <f>E93/$K$1</f>
        <v>0</v>
      </c>
      <c r="G93" s="5">
        <f t="shared" si="3"/>
        <v>101325</v>
      </c>
    </row>
    <row r="94" spans="1:7" x14ac:dyDescent="0.25">
      <c r="A94">
        <v>2492</v>
      </c>
      <c r="B94" s="3">
        <v>0</v>
      </c>
      <c r="C94" s="3">
        <f>B94*$K$4</f>
        <v>0</v>
      </c>
      <c r="D94" s="3">
        <f>(E93/$K$1)*$K$2*1</f>
        <v>0</v>
      </c>
      <c r="E94" s="3">
        <f t="shared" si="2"/>
        <v>0</v>
      </c>
      <c r="F94" s="3">
        <f>E94/$K$1</f>
        <v>0</v>
      </c>
      <c r="G94" s="5">
        <f t="shared" si="3"/>
        <v>101325</v>
      </c>
    </row>
    <row r="95" spans="1:7" x14ac:dyDescent="0.25">
      <c r="A95">
        <v>2493</v>
      </c>
      <c r="B95" s="3">
        <v>0</v>
      </c>
      <c r="C95" s="3">
        <f>B95*$K$4</f>
        <v>0</v>
      </c>
      <c r="D95" s="3">
        <f>(E94/$K$1)*$K$2*1</f>
        <v>0</v>
      </c>
      <c r="E95" s="3">
        <f t="shared" si="2"/>
        <v>0</v>
      </c>
      <c r="F95" s="3">
        <f>E95/$K$1</f>
        <v>0</v>
      </c>
      <c r="G95" s="5">
        <f t="shared" si="3"/>
        <v>101325</v>
      </c>
    </row>
    <row r="96" spans="1:7" x14ac:dyDescent="0.25">
      <c r="A96">
        <v>2494</v>
      </c>
      <c r="B96" s="3">
        <v>0</v>
      </c>
      <c r="C96" s="3">
        <f>B96*$K$4</f>
        <v>0</v>
      </c>
      <c r="D96" s="3">
        <f>(E95/$K$1)*$K$2*1</f>
        <v>0</v>
      </c>
      <c r="E96" s="3">
        <f t="shared" si="2"/>
        <v>0</v>
      </c>
      <c r="F96" s="3">
        <f>E96/$K$1</f>
        <v>0</v>
      </c>
      <c r="G96" s="5">
        <f t="shared" si="3"/>
        <v>101325</v>
      </c>
    </row>
    <row r="97" spans="1:7" x14ac:dyDescent="0.25">
      <c r="A97">
        <v>2495</v>
      </c>
      <c r="B97" s="3">
        <v>0</v>
      </c>
      <c r="C97" s="3">
        <f>B97*$K$4</f>
        <v>0</v>
      </c>
      <c r="D97" s="3">
        <f>(E96/$K$1)*$K$2*1</f>
        <v>0</v>
      </c>
      <c r="E97" s="3">
        <f t="shared" si="2"/>
        <v>0</v>
      </c>
      <c r="F97" s="3">
        <f>E97/$K$1</f>
        <v>0</v>
      </c>
      <c r="G97" s="5">
        <f t="shared" si="3"/>
        <v>101325</v>
      </c>
    </row>
    <row r="98" spans="1:7" x14ac:dyDescent="0.25">
      <c r="A98">
        <v>2496</v>
      </c>
      <c r="B98" s="3">
        <v>0</v>
      </c>
      <c r="C98" s="3">
        <f>B98*$K$4</f>
        <v>0</v>
      </c>
      <c r="D98" s="3">
        <f>(E97/$K$1)*$K$2*1</f>
        <v>0</v>
      </c>
      <c r="E98" s="3">
        <f t="shared" si="2"/>
        <v>0</v>
      </c>
      <c r="F98" s="3">
        <f>E98/$K$1</f>
        <v>0</v>
      </c>
      <c r="G98" s="5">
        <f t="shared" si="3"/>
        <v>101325</v>
      </c>
    </row>
    <row r="99" spans="1:7" x14ac:dyDescent="0.25">
      <c r="A99">
        <v>2497</v>
      </c>
      <c r="B99" s="3">
        <v>0</v>
      </c>
      <c r="C99" s="3">
        <f>B99*$K$4</f>
        <v>0</v>
      </c>
      <c r="D99" s="3">
        <f>(E98/$K$1)*$K$2*1</f>
        <v>0</v>
      </c>
      <c r="E99" s="3">
        <f t="shared" si="2"/>
        <v>0</v>
      </c>
      <c r="F99" s="3">
        <f>E99/$K$1</f>
        <v>0</v>
      </c>
      <c r="G99" s="5">
        <f t="shared" si="3"/>
        <v>101325</v>
      </c>
    </row>
    <row r="100" spans="1:7" x14ac:dyDescent="0.25">
      <c r="A100">
        <v>2498</v>
      </c>
      <c r="B100" s="3">
        <v>0</v>
      </c>
      <c r="C100" s="3">
        <f>B100*$K$4</f>
        <v>0</v>
      </c>
      <c r="D100" s="3">
        <f>(E99/$K$1)*$K$2*1</f>
        <v>0</v>
      </c>
      <c r="E100" s="3">
        <f t="shared" si="2"/>
        <v>0</v>
      </c>
      <c r="F100" s="3">
        <f>E100/$K$1</f>
        <v>0</v>
      </c>
      <c r="G100" s="5">
        <f t="shared" si="3"/>
        <v>101325</v>
      </c>
    </row>
    <row r="101" spans="1:7" x14ac:dyDescent="0.25">
      <c r="A101">
        <v>2499</v>
      </c>
      <c r="B101" s="3">
        <v>0</v>
      </c>
      <c r="C101" s="3">
        <f>B101*$K$4</f>
        <v>0</v>
      </c>
      <c r="D101" s="3">
        <f>(E100/$K$1)*$K$2*1</f>
        <v>0</v>
      </c>
      <c r="E101" s="3">
        <f t="shared" si="2"/>
        <v>0</v>
      </c>
      <c r="F101" s="3">
        <f>E101/$K$1</f>
        <v>0</v>
      </c>
      <c r="G101" s="5">
        <f t="shared" si="3"/>
        <v>101325</v>
      </c>
    </row>
    <row r="102" spans="1:7" x14ac:dyDescent="0.25">
      <c r="A102">
        <v>2500</v>
      </c>
      <c r="B102" s="3">
        <v>0</v>
      </c>
      <c r="C102" s="3">
        <f>B102*$K$4</f>
        <v>0</v>
      </c>
      <c r="D102" s="3">
        <f>(E101/$K$1)*$K$2*1</f>
        <v>0</v>
      </c>
      <c r="E102" s="3">
        <f t="shared" si="2"/>
        <v>0</v>
      </c>
      <c r="F102" s="3">
        <f>E102/$K$1</f>
        <v>0</v>
      </c>
      <c r="G102" s="5">
        <f t="shared" si="3"/>
        <v>101325</v>
      </c>
    </row>
    <row r="103" spans="1:7" x14ac:dyDescent="0.25">
      <c r="A103">
        <v>2501</v>
      </c>
      <c r="B103" s="3">
        <v>0</v>
      </c>
      <c r="C103" s="3">
        <f>B103*$K$4</f>
        <v>0</v>
      </c>
      <c r="D103" s="3">
        <f>(E102/$K$1)*$K$2*1</f>
        <v>0</v>
      </c>
      <c r="E103" s="3">
        <f t="shared" si="2"/>
        <v>0</v>
      </c>
      <c r="F103" s="3">
        <f>E103/$K$1</f>
        <v>0</v>
      </c>
      <c r="G103" s="5">
        <f t="shared" si="3"/>
        <v>101325</v>
      </c>
    </row>
    <row r="104" spans="1:7" x14ac:dyDescent="0.25">
      <c r="A104">
        <v>2502</v>
      </c>
      <c r="B104" s="3">
        <v>0</v>
      </c>
      <c r="C104" s="3">
        <f>B104*$K$4</f>
        <v>0</v>
      </c>
      <c r="D104" s="3">
        <f>(E103/$K$1)*$K$2*1</f>
        <v>0</v>
      </c>
      <c r="E104" s="3">
        <f t="shared" si="2"/>
        <v>0</v>
      </c>
      <c r="F104" s="3">
        <f>E104/$K$1</f>
        <v>0</v>
      </c>
      <c r="G104" s="5">
        <f t="shared" si="3"/>
        <v>101325</v>
      </c>
    </row>
    <row r="105" spans="1:7" x14ac:dyDescent="0.25">
      <c r="A105">
        <v>2503</v>
      </c>
      <c r="B105" s="3">
        <v>0</v>
      </c>
      <c r="C105" s="3">
        <f>B105*$K$4</f>
        <v>0</v>
      </c>
      <c r="D105" s="3">
        <f>(E104/$K$1)*$K$2*1</f>
        <v>0</v>
      </c>
      <c r="E105" s="3">
        <f t="shared" si="2"/>
        <v>0</v>
      </c>
      <c r="F105" s="3">
        <f>E105/$K$1</f>
        <v>0</v>
      </c>
      <c r="G105" s="5">
        <f t="shared" si="3"/>
        <v>101325</v>
      </c>
    </row>
    <row r="106" spans="1:7" x14ac:dyDescent="0.25">
      <c r="A106">
        <v>2504</v>
      </c>
      <c r="B106" s="3">
        <v>0</v>
      </c>
      <c r="C106" s="3">
        <f>B106*$K$4</f>
        <v>0</v>
      </c>
      <c r="D106" s="3">
        <f>(E105/$K$1)*$K$2*1</f>
        <v>0</v>
      </c>
      <c r="E106" s="3">
        <f t="shared" si="2"/>
        <v>0</v>
      </c>
      <c r="F106" s="3">
        <f>E106/$K$1</f>
        <v>0</v>
      </c>
      <c r="G106" s="5">
        <f t="shared" si="3"/>
        <v>101325</v>
      </c>
    </row>
    <row r="107" spans="1:7" x14ac:dyDescent="0.25">
      <c r="A107">
        <v>2505</v>
      </c>
      <c r="B107" s="3">
        <v>0</v>
      </c>
      <c r="C107" s="3">
        <f>B107*$K$4</f>
        <v>0</v>
      </c>
      <c r="D107" s="3">
        <f>(E106/$K$1)*$K$2*1</f>
        <v>0</v>
      </c>
      <c r="E107" s="3">
        <f t="shared" si="2"/>
        <v>0</v>
      </c>
      <c r="F107" s="3">
        <f>E107/$K$1</f>
        <v>0</v>
      </c>
      <c r="G107" s="5">
        <f t="shared" si="3"/>
        <v>101325</v>
      </c>
    </row>
    <row r="108" spans="1:7" x14ac:dyDescent="0.25">
      <c r="A108">
        <v>2506</v>
      </c>
      <c r="B108" s="3">
        <v>0</v>
      </c>
      <c r="C108" s="3">
        <f>B108*$K$4</f>
        <v>0</v>
      </c>
      <c r="D108" s="3">
        <f>(E107/$K$1)*$K$2*1</f>
        <v>0</v>
      </c>
      <c r="E108" s="3">
        <f t="shared" si="2"/>
        <v>0</v>
      </c>
      <c r="F108" s="3">
        <f>E108/$K$1</f>
        <v>0</v>
      </c>
      <c r="G108" s="5">
        <f t="shared" si="3"/>
        <v>101325</v>
      </c>
    </row>
    <row r="109" spans="1:7" x14ac:dyDescent="0.25">
      <c r="A109">
        <v>2507</v>
      </c>
      <c r="B109" s="3">
        <v>0</v>
      </c>
      <c r="C109" s="3">
        <f>B109*$K$4</f>
        <v>0</v>
      </c>
      <c r="D109" s="3">
        <f>(E108/$K$1)*$K$2*1</f>
        <v>0</v>
      </c>
      <c r="E109" s="3">
        <f t="shared" si="2"/>
        <v>0</v>
      </c>
      <c r="F109" s="3">
        <f>E109/$K$1</f>
        <v>0</v>
      </c>
      <c r="G109" s="5">
        <f t="shared" si="3"/>
        <v>101325</v>
      </c>
    </row>
    <row r="110" spans="1:7" x14ac:dyDescent="0.25">
      <c r="A110">
        <v>2508</v>
      </c>
      <c r="B110" s="3">
        <v>0</v>
      </c>
      <c r="C110" s="3">
        <f>B110*$K$4</f>
        <v>0</v>
      </c>
      <c r="D110" s="3">
        <f>(E109/$K$1)*$K$2*1</f>
        <v>0</v>
      </c>
      <c r="E110" s="3">
        <f t="shared" si="2"/>
        <v>0</v>
      </c>
      <c r="F110" s="3">
        <f>E110/$K$1</f>
        <v>0</v>
      </c>
      <c r="G110" s="5">
        <f t="shared" si="3"/>
        <v>101325</v>
      </c>
    </row>
    <row r="111" spans="1:7" x14ac:dyDescent="0.25">
      <c r="A111">
        <v>2509</v>
      </c>
      <c r="B111" s="3">
        <v>0</v>
      </c>
      <c r="C111" s="3">
        <f>B111*$K$4</f>
        <v>0</v>
      </c>
      <c r="D111" s="3">
        <f>(E110/$K$1)*$K$2*1</f>
        <v>0</v>
      </c>
      <c r="E111" s="3">
        <f t="shared" si="2"/>
        <v>0</v>
      </c>
      <c r="F111" s="3">
        <f>E111/$K$1</f>
        <v>0</v>
      </c>
      <c r="G111" s="5">
        <f t="shared" si="3"/>
        <v>101325</v>
      </c>
    </row>
    <row r="112" spans="1:7" x14ac:dyDescent="0.25">
      <c r="A112">
        <v>2510</v>
      </c>
      <c r="B112" s="3">
        <v>0</v>
      </c>
      <c r="C112" s="3">
        <f>B112*$K$4</f>
        <v>0</v>
      </c>
      <c r="D112" s="3">
        <f>(E111/$K$1)*$K$2*1</f>
        <v>0</v>
      </c>
      <c r="E112" s="3">
        <f t="shared" si="2"/>
        <v>0</v>
      </c>
      <c r="F112" s="3">
        <f>E112/$K$1</f>
        <v>0</v>
      </c>
      <c r="G112" s="5">
        <f t="shared" si="3"/>
        <v>101325</v>
      </c>
    </row>
    <row r="113" spans="1:7" x14ac:dyDescent="0.25">
      <c r="A113">
        <v>2511</v>
      </c>
      <c r="B113" s="3">
        <v>0</v>
      </c>
      <c r="C113" s="3">
        <f>B113*$K$4</f>
        <v>0</v>
      </c>
      <c r="D113" s="3">
        <f>(E112/$K$1)*$K$2*1</f>
        <v>0</v>
      </c>
      <c r="E113" s="3">
        <f t="shared" si="2"/>
        <v>0</v>
      </c>
      <c r="F113" s="3">
        <f>E113/$K$1</f>
        <v>0</v>
      </c>
      <c r="G113" s="5">
        <f t="shared" si="3"/>
        <v>101325</v>
      </c>
    </row>
    <row r="114" spans="1:7" x14ac:dyDescent="0.25">
      <c r="A114">
        <v>2512</v>
      </c>
      <c r="B114" s="3">
        <v>0</v>
      </c>
      <c r="C114" s="3">
        <f>B114*$K$4</f>
        <v>0</v>
      </c>
      <c r="D114" s="3">
        <f>(E113/$K$1)*$K$2*1</f>
        <v>0</v>
      </c>
      <c r="E114" s="3">
        <f t="shared" si="2"/>
        <v>0</v>
      </c>
      <c r="F114" s="3">
        <f>E114/$K$1</f>
        <v>0</v>
      </c>
      <c r="G114" s="5">
        <f t="shared" si="3"/>
        <v>101325</v>
      </c>
    </row>
    <row r="115" spans="1:7" x14ac:dyDescent="0.25">
      <c r="A115">
        <v>2513</v>
      </c>
      <c r="B115" s="3">
        <v>0</v>
      </c>
      <c r="C115" s="3">
        <f>B115*$K$4</f>
        <v>0</v>
      </c>
      <c r="D115" s="3">
        <f>(E114/$K$1)*$K$2*1</f>
        <v>0</v>
      </c>
      <c r="E115" s="3">
        <f t="shared" si="2"/>
        <v>0</v>
      </c>
      <c r="F115" s="3">
        <f>E115/$K$1</f>
        <v>0</v>
      </c>
      <c r="G115" s="5">
        <f t="shared" si="3"/>
        <v>101325</v>
      </c>
    </row>
    <row r="116" spans="1:7" x14ac:dyDescent="0.25">
      <c r="A116">
        <v>2514</v>
      </c>
      <c r="B116" s="3">
        <v>0</v>
      </c>
      <c r="C116" s="3">
        <f>B116*$K$4</f>
        <v>0</v>
      </c>
      <c r="D116" s="3">
        <f>(E115/$K$1)*$K$2*1</f>
        <v>0</v>
      </c>
      <c r="E116" s="3">
        <f t="shared" si="2"/>
        <v>0</v>
      </c>
      <c r="F116" s="3">
        <f>E116/$K$1</f>
        <v>0</v>
      </c>
      <c r="G116" s="5">
        <f t="shared" si="3"/>
        <v>101325</v>
      </c>
    </row>
    <row r="117" spans="1:7" x14ac:dyDescent="0.25">
      <c r="A117">
        <v>2515</v>
      </c>
      <c r="B117" s="3">
        <v>0</v>
      </c>
      <c r="C117" s="3">
        <f>B117*$K$4</f>
        <v>0</v>
      </c>
      <c r="D117" s="3">
        <f>(E116/$K$1)*$K$2*1</f>
        <v>0</v>
      </c>
      <c r="E117" s="3">
        <f t="shared" si="2"/>
        <v>0</v>
      </c>
      <c r="F117" s="3">
        <f>E117/$K$1</f>
        <v>0</v>
      </c>
      <c r="G117" s="5">
        <f t="shared" si="3"/>
        <v>101325</v>
      </c>
    </row>
    <row r="118" spans="1:7" x14ac:dyDescent="0.25">
      <c r="A118">
        <v>2516</v>
      </c>
      <c r="B118" s="3">
        <v>0</v>
      </c>
      <c r="C118" s="3">
        <f>B118*$K$4</f>
        <v>0</v>
      </c>
      <c r="D118" s="3">
        <f>(E117/$K$1)*$K$2*1</f>
        <v>0</v>
      </c>
      <c r="E118" s="3">
        <f t="shared" si="2"/>
        <v>0</v>
      </c>
      <c r="F118" s="3">
        <f>E118/$K$1</f>
        <v>0</v>
      </c>
      <c r="G118" s="5">
        <f t="shared" si="3"/>
        <v>101325</v>
      </c>
    </row>
    <row r="119" spans="1:7" x14ac:dyDescent="0.25">
      <c r="A119">
        <v>2517</v>
      </c>
      <c r="B119" s="3">
        <v>0</v>
      </c>
      <c r="C119" s="3">
        <f>B119*$K$4</f>
        <v>0</v>
      </c>
      <c r="D119" s="3">
        <f>(E118/$K$1)*$K$2*1</f>
        <v>0</v>
      </c>
      <c r="E119" s="3">
        <f t="shared" si="2"/>
        <v>0</v>
      </c>
      <c r="F119" s="3">
        <f>E119/$K$1</f>
        <v>0</v>
      </c>
      <c r="G119" s="5">
        <f t="shared" si="3"/>
        <v>101325</v>
      </c>
    </row>
    <row r="120" spans="1:7" x14ac:dyDescent="0.25">
      <c r="A120">
        <v>2518</v>
      </c>
      <c r="B120" s="3">
        <v>0</v>
      </c>
      <c r="C120" s="3">
        <f>B120*$K$4</f>
        <v>0</v>
      </c>
      <c r="D120" s="3">
        <f>(E119/$K$1)*$K$2*1</f>
        <v>0</v>
      </c>
      <c r="E120" s="3">
        <f t="shared" si="2"/>
        <v>0</v>
      </c>
      <c r="F120" s="3">
        <f>E120/$K$1</f>
        <v>0</v>
      </c>
      <c r="G120" s="5">
        <f t="shared" si="3"/>
        <v>101325</v>
      </c>
    </row>
    <row r="121" spans="1:7" x14ac:dyDescent="0.25">
      <c r="A121">
        <v>2519</v>
      </c>
      <c r="B121" s="3">
        <v>0</v>
      </c>
      <c r="C121" s="3">
        <f>B121*$K$4</f>
        <v>0</v>
      </c>
      <c r="D121" s="3">
        <f>(E120/$K$1)*$K$2*1</f>
        <v>0</v>
      </c>
      <c r="E121" s="3">
        <f t="shared" si="2"/>
        <v>0</v>
      </c>
      <c r="F121" s="3">
        <f>E121/$K$1</f>
        <v>0</v>
      </c>
      <c r="G121" s="5">
        <f t="shared" si="3"/>
        <v>101325</v>
      </c>
    </row>
    <row r="122" spans="1:7" x14ac:dyDescent="0.25">
      <c r="A122">
        <v>2520</v>
      </c>
      <c r="B122" s="3">
        <v>0</v>
      </c>
      <c r="C122" s="3">
        <f>B122*$K$4</f>
        <v>0</v>
      </c>
      <c r="D122" s="3">
        <f>(E121/$K$1)*$K$2*1</f>
        <v>0</v>
      </c>
      <c r="E122" s="3">
        <f t="shared" si="2"/>
        <v>0</v>
      </c>
      <c r="F122" s="3">
        <f>E122/$K$1</f>
        <v>0</v>
      </c>
      <c r="G122" s="5">
        <f t="shared" si="3"/>
        <v>101325</v>
      </c>
    </row>
    <row r="123" spans="1:7" x14ac:dyDescent="0.25">
      <c r="A123">
        <v>2521</v>
      </c>
      <c r="B123" s="3">
        <v>0</v>
      </c>
      <c r="C123" s="3">
        <f>B123*$K$4</f>
        <v>0</v>
      </c>
      <c r="D123" s="3">
        <f>(E122/$K$1)*$K$2*1</f>
        <v>0</v>
      </c>
      <c r="E123" s="3">
        <f t="shared" si="2"/>
        <v>0</v>
      </c>
      <c r="F123" s="3">
        <f>E123/$K$1</f>
        <v>0</v>
      </c>
      <c r="G123" s="5">
        <f t="shared" si="3"/>
        <v>101325</v>
      </c>
    </row>
    <row r="124" spans="1:7" x14ac:dyDescent="0.25">
      <c r="A124">
        <v>2522</v>
      </c>
      <c r="B124" s="3">
        <v>0</v>
      </c>
      <c r="C124" s="3">
        <f>B124*$K$4</f>
        <v>0</v>
      </c>
      <c r="D124" s="3">
        <f>(E123/$K$1)*$K$2*1</f>
        <v>0</v>
      </c>
      <c r="E124" s="3">
        <f t="shared" si="2"/>
        <v>0</v>
      </c>
      <c r="F124" s="3">
        <f>E124/$K$1</f>
        <v>0</v>
      </c>
      <c r="G124" s="5">
        <f t="shared" si="3"/>
        <v>101325</v>
      </c>
    </row>
    <row r="125" spans="1:7" x14ac:dyDescent="0.25">
      <c r="A125">
        <v>2523</v>
      </c>
      <c r="B125" s="3">
        <v>0</v>
      </c>
      <c r="C125" s="3">
        <f>B125*$K$4</f>
        <v>0</v>
      </c>
      <c r="D125" s="3">
        <f>(E124/$K$1)*$K$2*1</f>
        <v>0</v>
      </c>
      <c r="E125" s="3">
        <f t="shared" si="2"/>
        <v>0</v>
      </c>
      <c r="F125" s="3">
        <f>E125/$K$1</f>
        <v>0</v>
      </c>
      <c r="G125" s="5">
        <f t="shared" si="3"/>
        <v>101325</v>
      </c>
    </row>
    <row r="126" spans="1:7" x14ac:dyDescent="0.25">
      <c r="A126">
        <v>2524</v>
      </c>
      <c r="B126" s="3">
        <v>0</v>
      </c>
      <c r="C126" s="3">
        <f>B126*$K$4</f>
        <v>0</v>
      </c>
      <c r="D126" s="3">
        <f>(E125/$K$1)*$K$2*1</f>
        <v>0</v>
      </c>
      <c r="E126" s="3">
        <f t="shared" si="2"/>
        <v>0</v>
      </c>
      <c r="F126" s="3">
        <f>E126/$K$1</f>
        <v>0</v>
      </c>
      <c r="G126" s="5">
        <f t="shared" si="3"/>
        <v>101325</v>
      </c>
    </row>
    <row r="127" spans="1:7" x14ac:dyDescent="0.25">
      <c r="A127">
        <v>2525</v>
      </c>
      <c r="B127" s="3">
        <v>0</v>
      </c>
      <c r="C127" s="3">
        <f>B127*$K$4</f>
        <v>0</v>
      </c>
      <c r="D127" s="3">
        <f>(E126/$K$1)*$K$2*1</f>
        <v>0</v>
      </c>
      <c r="E127" s="3">
        <f t="shared" si="2"/>
        <v>0</v>
      </c>
      <c r="F127" s="3">
        <f>E127/$K$1</f>
        <v>0</v>
      </c>
      <c r="G127" s="5">
        <f t="shared" si="3"/>
        <v>101325</v>
      </c>
    </row>
    <row r="128" spans="1:7" x14ac:dyDescent="0.25">
      <c r="A128">
        <v>2526</v>
      </c>
      <c r="B128" s="3">
        <v>0</v>
      </c>
      <c r="C128" s="3">
        <f>B128*$K$4</f>
        <v>0</v>
      </c>
      <c r="D128" s="3">
        <f>(E127/$K$1)*$K$2*1</f>
        <v>0</v>
      </c>
      <c r="E128" s="3">
        <f t="shared" si="2"/>
        <v>0</v>
      </c>
      <c r="F128" s="3">
        <f>E128/$K$1</f>
        <v>0</v>
      </c>
      <c r="G128" s="5">
        <f t="shared" si="3"/>
        <v>101325</v>
      </c>
    </row>
    <row r="129" spans="1:7" x14ac:dyDescent="0.25">
      <c r="A129">
        <v>2527</v>
      </c>
      <c r="B129" s="3">
        <v>0</v>
      </c>
      <c r="C129" s="3">
        <f>B129*$K$4</f>
        <v>0</v>
      </c>
      <c r="D129" s="3">
        <f>(E128/$K$1)*$K$2*1</f>
        <v>0</v>
      </c>
      <c r="E129" s="3">
        <f t="shared" si="2"/>
        <v>0</v>
      </c>
      <c r="F129" s="3">
        <f>E129/$K$1</f>
        <v>0</v>
      </c>
      <c r="G129" s="5">
        <f t="shared" si="3"/>
        <v>101325</v>
      </c>
    </row>
    <row r="130" spans="1:7" x14ac:dyDescent="0.25">
      <c r="A130">
        <v>2528</v>
      </c>
      <c r="B130" s="3">
        <v>0</v>
      </c>
      <c r="C130" s="3">
        <f>B130*$K$4</f>
        <v>0</v>
      </c>
      <c r="D130" s="3">
        <f>(E129/$K$1)*$K$2*1</f>
        <v>0</v>
      </c>
      <c r="E130" s="3">
        <f t="shared" si="2"/>
        <v>0</v>
      </c>
      <c r="F130" s="3">
        <f>E130/$K$1</f>
        <v>0</v>
      </c>
      <c r="G130" s="5">
        <f t="shared" si="3"/>
        <v>101325</v>
      </c>
    </row>
    <row r="131" spans="1:7" x14ac:dyDescent="0.25">
      <c r="A131">
        <v>2529</v>
      </c>
      <c r="B131" s="3">
        <v>0</v>
      </c>
      <c r="C131" s="3">
        <f>B131*$K$4</f>
        <v>0</v>
      </c>
      <c r="D131" s="3">
        <f>(E130/$K$1)*$K$2*1</f>
        <v>0</v>
      </c>
      <c r="E131" s="3">
        <f t="shared" si="2"/>
        <v>0</v>
      </c>
      <c r="F131" s="3">
        <f>E131/$K$1</f>
        <v>0</v>
      </c>
      <c r="G131" s="5">
        <f t="shared" si="3"/>
        <v>101325</v>
      </c>
    </row>
    <row r="132" spans="1:7" x14ac:dyDescent="0.25">
      <c r="A132">
        <v>2530</v>
      </c>
      <c r="B132" s="3">
        <v>0</v>
      </c>
      <c r="C132" s="3">
        <f>B132*$K$4</f>
        <v>0</v>
      </c>
      <c r="D132" s="3">
        <f>(E131/$K$1)*$K$2*1</f>
        <v>0</v>
      </c>
      <c r="E132" s="3">
        <f t="shared" ref="E132:E195" si="4">E131+C132-D132</f>
        <v>0</v>
      </c>
      <c r="F132" s="3">
        <f>E132/$K$1</f>
        <v>0</v>
      </c>
      <c r="G132" s="5">
        <f t="shared" ref="G132:G195" si="5">G131+C132-$K$5*$K$9*SQRT(MAX(0,2*$K$6*(G131-$K$11)))</f>
        <v>101325</v>
      </c>
    </row>
    <row r="133" spans="1:7" x14ac:dyDescent="0.25">
      <c r="A133">
        <v>2531</v>
      </c>
      <c r="B133" s="3">
        <v>0</v>
      </c>
      <c r="C133" s="3">
        <f>B133*$K$4</f>
        <v>0</v>
      </c>
      <c r="D133" s="3">
        <f>(E132/$K$1)*$K$2*1</f>
        <v>0</v>
      </c>
      <c r="E133" s="3">
        <f t="shared" si="4"/>
        <v>0</v>
      </c>
      <c r="F133" s="3">
        <f>E133/$K$1</f>
        <v>0</v>
      </c>
      <c r="G133" s="5">
        <f t="shared" si="5"/>
        <v>101325</v>
      </c>
    </row>
    <row r="134" spans="1:7" x14ac:dyDescent="0.25">
      <c r="A134">
        <v>2532</v>
      </c>
      <c r="B134" s="3">
        <v>0</v>
      </c>
      <c r="C134" s="3">
        <f>B134*$K$4</f>
        <v>0</v>
      </c>
      <c r="D134" s="3">
        <f>(E133/$K$1)*$K$2*1</f>
        <v>0</v>
      </c>
      <c r="E134" s="3">
        <f t="shared" si="4"/>
        <v>0</v>
      </c>
      <c r="F134" s="3">
        <f>E134/$K$1</f>
        <v>0</v>
      </c>
      <c r="G134" s="5">
        <f t="shared" si="5"/>
        <v>101325</v>
      </c>
    </row>
    <row r="135" spans="1:7" x14ac:dyDescent="0.25">
      <c r="A135">
        <v>2533</v>
      </c>
      <c r="B135" s="3">
        <v>0</v>
      </c>
      <c r="C135" s="3">
        <f>B135*$K$4</f>
        <v>0</v>
      </c>
      <c r="D135" s="3">
        <f>(E134/$K$1)*$K$2*1</f>
        <v>0</v>
      </c>
      <c r="E135" s="3">
        <f t="shared" si="4"/>
        <v>0</v>
      </c>
      <c r="F135" s="3">
        <f>E135/$K$1</f>
        <v>0</v>
      </c>
      <c r="G135" s="5">
        <f t="shared" si="5"/>
        <v>101325</v>
      </c>
    </row>
    <row r="136" spans="1:7" x14ac:dyDescent="0.25">
      <c r="A136">
        <v>2534</v>
      </c>
      <c r="B136" s="3">
        <v>0</v>
      </c>
      <c r="C136" s="3">
        <f>B136*$K$4</f>
        <v>0</v>
      </c>
      <c r="D136" s="3">
        <f>(E135/$K$1)*$K$2*1</f>
        <v>0</v>
      </c>
      <c r="E136" s="3">
        <f t="shared" si="4"/>
        <v>0</v>
      </c>
      <c r="F136" s="3">
        <f>E136/$K$1</f>
        <v>0</v>
      </c>
      <c r="G136" s="5">
        <f t="shared" si="5"/>
        <v>101325</v>
      </c>
    </row>
    <row r="137" spans="1:7" x14ac:dyDescent="0.25">
      <c r="A137">
        <v>2535</v>
      </c>
      <c r="B137" s="3">
        <v>0</v>
      </c>
      <c r="C137" s="3">
        <f>B137*$K$4</f>
        <v>0</v>
      </c>
      <c r="D137" s="3">
        <f>(E136/$K$1)*$K$2*1</f>
        <v>0</v>
      </c>
      <c r="E137" s="3">
        <f t="shared" si="4"/>
        <v>0</v>
      </c>
      <c r="F137" s="3">
        <f>E137/$K$1</f>
        <v>0</v>
      </c>
      <c r="G137" s="5">
        <f t="shared" si="5"/>
        <v>101325</v>
      </c>
    </row>
    <row r="138" spans="1:7" x14ac:dyDescent="0.25">
      <c r="A138">
        <v>2536</v>
      </c>
      <c r="B138" s="3">
        <v>0</v>
      </c>
      <c r="C138" s="3">
        <f>B138*$K$4</f>
        <v>0</v>
      </c>
      <c r="D138" s="3">
        <f>(E137/$K$1)*$K$2*1</f>
        <v>0</v>
      </c>
      <c r="E138" s="3">
        <f t="shared" si="4"/>
        <v>0</v>
      </c>
      <c r="F138" s="3">
        <f>E138/$K$1</f>
        <v>0</v>
      </c>
      <c r="G138" s="5">
        <f t="shared" si="5"/>
        <v>101325</v>
      </c>
    </row>
    <row r="139" spans="1:7" x14ac:dyDescent="0.25">
      <c r="A139">
        <v>2537</v>
      </c>
      <c r="B139" s="3">
        <v>0</v>
      </c>
      <c r="C139" s="3">
        <f>B139*$K$4</f>
        <v>0</v>
      </c>
      <c r="D139" s="3">
        <f>(E138/$K$1)*$K$2*1</f>
        <v>0</v>
      </c>
      <c r="E139" s="3">
        <f t="shared" si="4"/>
        <v>0</v>
      </c>
      <c r="F139" s="3">
        <f>E139/$K$1</f>
        <v>0</v>
      </c>
      <c r="G139" s="5">
        <f t="shared" si="5"/>
        <v>101325</v>
      </c>
    </row>
    <row r="140" spans="1:7" x14ac:dyDescent="0.25">
      <c r="A140">
        <v>2538</v>
      </c>
      <c r="B140" s="3">
        <v>0</v>
      </c>
      <c r="C140" s="3">
        <f>B140*$K$4</f>
        <v>0</v>
      </c>
      <c r="D140" s="3">
        <f>(E139/$K$1)*$K$2*1</f>
        <v>0</v>
      </c>
      <c r="E140" s="3">
        <f t="shared" si="4"/>
        <v>0</v>
      </c>
      <c r="F140" s="3">
        <f>E140/$K$1</f>
        <v>0</v>
      </c>
      <c r="G140" s="5">
        <f t="shared" si="5"/>
        <v>101325</v>
      </c>
    </row>
    <row r="141" spans="1:7" x14ac:dyDescent="0.25">
      <c r="A141">
        <v>2539</v>
      </c>
      <c r="B141" s="3">
        <v>0</v>
      </c>
      <c r="C141" s="3">
        <f>B141*$K$4</f>
        <v>0</v>
      </c>
      <c r="D141" s="3">
        <f>(E140/$K$1)*$K$2*1</f>
        <v>0</v>
      </c>
      <c r="E141" s="3">
        <f t="shared" si="4"/>
        <v>0</v>
      </c>
      <c r="F141" s="3">
        <f>E141/$K$1</f>
        <v>0</v>
      </c>
      <c r="G141" s="5">
        <f t="shared" si="5"/>
        <v>101325</v>
      </c>
    </row>
    <row r="142" spans="1:7" x14ac:dyDescent="0.25">
      <c r="A142">
        <v>2540</v>
      </c>
      <c r="B142" s="3">
        <v>0</v>
      </c>
      <c r="C142" s="3">
        <f>B142*$K$4</f>
        <v>0</v>
      </c>
      <c r="D142" s="3">
        <f>(E141/$K$1)*$K$2*1</f>
        <v>0</v>
      </c>
      <c r="E142" s="3">
        <f t="shared" si="4"/>
        <v>0</v>
      </c>
      <c r="F142" s="3">
        <f>E142/$K$1</f>
        <v>0</v>
      </c>
      <c r="G142" s="5">
        <f t="shared" si="5"/>
        <v>101325</v>
      </c>
    </row>
    <row r="143" spans="1:7" x14ac:dyDescent="0.25">
      <c r="A143">
        <v>2541</v>
      </c>
      <c r="B143" s="3">
        <v>0</v>
      </c>
      <c r="C143" s="3">
        <f>B143*$K$4</f>
        <v>0</v>
      </c>
      <c r="D143" s="3">
        <f>(E142/$K$1)*$K$2*1</f>
        <v>0</v>
      </c>
      <c r="E143" s="3">
        <f t="shared" si="4"/>
        <v>0</v>
      </c>
      <c r="F143" s="3">
        <f>E143/$K$1</f>
        <v>0</v>
      </c>
      <c r="G143" s="5">
        <f t="shared" si="5"/>
        <v>101325</v>
      </c>
    </row>
    <row r="144" spans="1:7" x14ac:dyDescent="0.25">
      <c r="A144">
        <v>2542</v>
      </c>
      <c r="B144" s="3">
        <v>0</v>
      </c>
      <c r="C144" s="3">
        <f>B144*$K$4</f>
        <v>0</v>
      </c>
      <c r="D144" s="3">
        <f>(E143/$K$1)*$K$2*1</f>
        <v>0</v>
      </c>
      <c r="E144" s="3">
        <f t="shared" si="4"/>
        <v>0</v>
      </c>
      <c r="F144" s="3">
        <f>E144/$K$1</f>
        <v>0</v>
      </c>
      <c r="G144" s="5">
        <f t="shared" si="5"/>
        <v>101325</v>
      </c>
    </row>
    <row r="145" spans="1:7" x14ac:dyDescent="0.25">
      <c r="A145">
        <v>2543</v>
      </c>
      <c r="B145" s="3">
        <v>0</v>
      </c>
      <c r="C145" s="3">
        <f>B145*$K$4</f>
        <v>0</v>
      </c>
      <c r="D145" s="3">
        <f>(E144/$K$1)*$K$2*1</f>
        <v>0</v>
      </c>
      <c r="E145" s="3">
        <f t="shared" si="4"/>
        <v>0</v>
      </c>
      <c r="F145" s="3">
        <f>E145/$K$1</f>
        <v>0</v>
      </c>
      <c r="G145" s="5">
        <f t="shared" si="5"/>
        <v>101325</v>
      </c>
    </row>
    <row r="146" spans="1:7" x14ac:dyDescent="0.25">
      <c r="A146">
        <v>2544</v>
      </c>
      <c r="B146" s="3">
        <v>0</v>
      </c>
      <c r="C146" s="3">
        <f>B146*$K$4</f>
        <v>0</v>
      </c>
      <c r="D146" s="3">
        <f>(E145/$K$1)*$K$2*1</f>
        <v>0</v>
      </c>
      <c r="E146" s="3">
        <f t="shared" si="4"/>
        <v>0</v>
      </c>
      <c r="F146" s="3">
        <f>E146/$K$1</f>
        <v>0</v>
      </c>
      <c r="G146" s="5">
        <f t="shared" si="5"/>
        <v>101325</v>
      </c>
    </row>
    <row r="147" spans="1:7" x14ac:dyDescent="0.25">
      <c r="A147">
        <v>2545</v>
      </c>
      <c r="B147" s="3">
        <v>0</v>
      </c>
      <c r="C147" s="3">
        <f>B147*$K$4</f>
        <v>0</v>
      </c>
      <c r="D147" s="3">
        <f>(E146/$K$1)*$K$2*1</f>
        <v>0</v>
      </c>
      <c r="E147" s="3">
        <f t="shared" si="4"/>
        <v>0</v>
      </c>
      <c r="F147" s="3">
        <f>E147/$K$1</f>
        <v>0</v>
      </c>
      <c r="G147" s="5">
        <f t="shared" si="5"/>
        <v>101325</v>
      </c>
    </row>
    <row r="148" spans="1:7" x14ac:dyDescent="0.25">
      <c r="A148">
        <v>2546</v>
      </c>
      <c r="B148" s="3">
        <v>0</v>
      </c>
      <c r="C148" s="3">
        <f>B148*$K$4</f>
        <v>0</v>
      </c>
      <c r="D148" s="3">
        <f>(E147/$K$1)*$K$2*1</f>
        <v>0</v>
      </c>
      <c r="E148" s="3">
        <f t="shared" si="4"/>
        <v>0</v>
      </c>
      <c r="F148" s="3">
        <f>E148/$K$1</f>
        <v>0</v>
      </c>
      <c r="G148" s="5">
        <f t="shared" si="5"/>
        <v>101325</v>
      </c>
    </row>
    <row r="149" spans="1:7" x14ac:dyDescent="0.25">
      <c r="A149">
        <v>2547</v>
      </c>
      <c r="B149" s="3">
        <v>0</v>
      </c>
      <c r="C149" s="3">
        <f>B149*$K$4</f>
        <v>0</v>
      </c>
      <c r="D149" s="3">
        <f>(E148/$K$1)*$K$2*1</f>
        <v>0</v>
      </c>
      <c r="E149" s="3">
        <f t="shared" si="4"/>
        <v>0</v>
      </c>
      <c r="F149" s="3">
        <f>E149/$K$1</f>
        <v>0</v>
      </c>
      <c r="G149" s="5">
        <f t="shared" si="5"/>
        <v>101325</v>
      </c>
    </row>
    <row r="150" spans="1:7" x14ac:dyDescent="0.25">
      <c r="A150">
        <v>2548</v>
      </c>
      <c r="B150" s="3">
        <v>0</v>
      </c>
      <c r="C150" s="3">
        <f>B150*$K$4</f>
        <v>0</v>
      </c>
      <c r="D150" s="3">
        <f>(E149/$K$1)*$K$2*1</f>
        <v>0</v>
      </c>
      <c r="E150" s="3">
        <f t="shared" si="4"/>
        <v>0</v>
      </c>
      <c r="F150" s="3">
        <f>E150/$K$1</f>
        <v>0</v>
      </c>
      <c r="G150" s="5">
        <f t="shared" si="5"/>
        <v>101325</v>
      </c>
    </row>
    <row r="151" spans="1:7" x14ac:dyDescent="0.25">
      <c r="A151">
        <v>2549</v>
      </c>
      <c r="B151" s="3">
        <v>0</v>
      </c>
      <c r="C151" s="3">
        <f>B151*$K$4</f>
        <v>0</v>
      </c>
      <c r="D151" s="3">
        <f>(E150/$K$1)*$K$2*1</f>
        <v>0</v>
      </c>
      <c r="E151" s="3">
        <f t="shared" si="4"/>
        <v>0</v>
      </c>
      <c r="F151" s="3">
        <f>E151/$K$1</f>
        <v>0</v>
      </c>
      <c r="G151" s="5">
        <f t="shared" si="5"/>
        <v>101325</v>
      </c>
    </row>
    <row r="152" spans="1:7" x14ac:dyDescent="0.25">
      <c r="A152">
        <v>2550</v>
      </c>
      <c r="B152" s="3">
        <v>0</v>
      </c>
      <c r="C152" s="3">
        <f>B152*$K$4</f>
        <v>0</v>
      </c>
      <c r="D152" s="3">
        <f>(E151/$K$1)*$K$2*1</f>
        <v>0</v>
      </c>
      <c r="E152" s="3">
        <f t="shared" si="4"/>
        <v>0</v>
      </c>
      <c r="F152" s="3">
        <f>E152/$K$1</f>
        <v>0</v>
      </c>
      <c r="G152" s="5">
        <f t="shared" si="5"/>
        <v>101325</v>
      </c>
    </row>
    <row r="153" spans="1:7" x14ac:dyDescent="0.25">
      <c r="A153">
        <v>2551</v>
      </c>
      <c r="B153" s="3">
        <v>0</v>
      </c>
      <c r="C153" s="3">
        <f>B153*$K$4</f>
        <v>0</v>
      </c>
      <c r="D153" s="3">
        <f>(E152/$K$1)*$K$2*1</f>
        <v>0</v>
      </c>
      <c r="E153" s="3">
        <f t="shared" si="4"/>
        <v>0</v>
      </c>
      <c r="F153" s="3">
        <f>E153/$K$1</f>
        <v>0</v>
      </c>
      <c r="G153" s="5">
        <f t="shared" si="5"/>
        <v>101325</v>
      </c>
    </row>
    <row r="154" spans="1:7" x14ac:dyDescent="0.25">
      <c r="A154">
        <v>2552</v>
      </c>
      <c r="B154" s="3">
        <v>0</v>
      </c>
      <c r="C154" s="3">
        <f>B154*$K$4</f>
        <v>0</v>
      </c>
      <c r="D154" s="3">
        <f>(E153/$K$1)*$K$2*1</f>
        <v>0</v>
      </c>
      <c r="E154" s="3">
        <f t="shared" si="4"/>
        <v>0</v>
      </c>
      <c r="F154" s="3">
        <f>E154/$K$1</f>
        <v>0</v>
      </c>
      <c r="G154" s="5">
        <f t="shared" si="5"/>
        <v>101325</v>
      </c>
    </row>
    <row r="155" spans="1:7" x14ac:dyDescent="0.25">
      <c r="A155">
        <v>2553</v>
      </c>
      <c r="B155" s="3">
        <v>0</v>
      </c>
      <c r="C155" s="3">
        <f>B155*$K$4</f>
        <v>0</v>
      </c>
      <c r="D155" s="3">
        <f>(E154/$K$1)*$K$2*1</f>
        <v>0</v>
      </c>
      <c r="E155" s="3">
        <f t="shared" si="4"/>
        <v>0</v>
      </c>
      <c r="F155" s="3">
        <f>E155/$K$1</f>
        <v>0</v>
      </c>
      <c r="G155" s="5">
        <f t="shared" si="5"/>
        <v>101325</v>
      </c>
    </row>
    <row r="156" spans="1:7" x14ac:dyDescent="0.25">
      <c r="A156">
        <v>2554</v>
      </c>
      <c r="B156" s="3">
        <v>0</v>
      </c>
      <c r="C156" s="3">
        <f>B156*$K$4</f>
        <v>0</v>
      </c>
      <c r="D156" s="3">
        <f>(E155/$K$1)*$K$2*1</f>
        <v>0</v>
      </c>
      <c r="E156" s="3">
        <f t="shared" si="4"/>
        <v>0</v>
      </c>
      <c r="F156" s="3">
        <f>E156/$K$1</f>
        <v>0</v>
      </c>
      <c r="G156" s="5">
        <f t="shared" si="5"/>
        <v>101325</v>
      </c>
    </row>
    <row r="157" spans="1:7" x14ac:dyDescent="0.25">
      <c r="A157">
        <v>2555</v>
      </c>
      <c r="B157" s="3">
        <v>0</v>
      </c>
      <c r="C157" s="3">
        <f>B157*$K$4</f>
        <v>0</v>
      </c>
      <c r="D157" s="3">
        <f>(E156/$K$1)*$K$2*1</f>
        <v>0</v>
      </c>
      <c r="E157" s="3">
        <f t="shared" si="4"/>
        <v>0</v>
      </c>
      <c r="F157" s="3">
        <f>E157/$K$1</f>
        <v>0</v>
      </c>
      <c r="G157" s="5">
        <f t="shared" si="5"/>
        <v>101325</v>
      </c>
    </row>
    <row r="158" spans="1:7" x14ac:dyDescent="0.25">
      <c r="A158">
        <v>2556</v>
      </c>
      <c r="B158" s="3">
        <v>0</v>
      </c>
      <c r="C158" s="3">
        <f>B158*$K$4</f>
        <v>0</v>
      </c>
      <c r="D158" s="3">
        <f>(E157/$K$1)*$K$2*1</f>
        <v>0</v>
      </c>
      <c r="E158" s="3">
        <f t="shared" si="4"/>
        <v>0</v>
      </c>
      <c r="F158" s="3">
        <f>E158/$K$1</f>
        <v>0</v>
      </c>
      <c r="G158" s="5">
        <f t="shared" si="5"/>
        <v>101325</v>
      </c>
    </row>
    <row r="159" spans="1:7" x14ac:dyDescent="0.25">
      <c r="A159">
        <v>2557</v>
      </c>
      <c r="B159" s="3">
        <v>0</v>
      </c>
      <c r="C159" s="3">
        <f>B159*$K$4</f>
        <v>0</v>
      </c>
      <c r="D159" s="3">
        <f>(E158/$K$1)*$K$2*1</f>
        <v>0</v>
      </c>
      <c r="E159" s="3">
        <f t="shared" si="4"/>
        <v>0</v>
      </c>
      <c r="F159" s="3">
        <f>E159/$K$1</f>
        <v>0</v>
      </c>
      <c r="G159" s="5">
        <f t="shared" si="5"/>
        <v>101325</v>
      </c>
    </row>
    <row r="160" spans="1:7" x14ac:dyDescent="0.25">
      <c r="A160">
        <v>2558</v>
      </c>
      <c r="B160" s="3">
        <v>0</v>
      </c>
      <c r="C160" s="3">
        <f>B160*$K$4</f>
        <v>0</v>
      </c>
      <c r="D160" s="3">
        <f>(E159/$K$1)*$K$2*1</f>
        <v>0</v>
      </c>
      <c r="E160" s="3">
        <f t="shared" si="4"/>
        <v>0</v>
      </c>
      <c r="F160" s="3">
        <f>E160/$K$1</f>
        <v>0</v>
      </c>
      <c r="G160" s="5">
        <f t="shared" si="5"/>
        <v>101325</v>
      </c>
    </row>
    <row r="161" spans="1:7" x14ac:dyDescent="0.25">
      <c r="A161">
        <v>2559</v>
      </c>
      <c r="B161" s="3">
        <v>0</v>
      </c>
      <c r="C161" s="3">
        <f>B161*$K$4</f>
        <v>0</v>
      </c>
      <c r="D161" s="3">
        <f>(E160/$K$1)*$K$2*1</f>
        <v>0</v>
      </c>
      <c r="E161" s="3">
        <f t="shared" si="4"/>
        <v>0</v>
      </c>
      <c r="F161" s="3">
        <f>E161/$K$1</f>
        <v>0</v>
      </c>
      <c r="G161" s="5">
        <f t="shared" si="5"/>
        <v>101325</v>
      </c>
    </row>
    <row r="162" spans="1:7" x14ac:dyDescent="0.25">
      <c r="A162">
        <v>2560</v>
      </c>
      <c r="B162" s="3">
        <v>0</v>
      </c>
      <c r="C162" s="3">
        <f>B162*$K$4</f>
        <v>0</v>
      </c>
      <c r="D162" s="3">
        <f>(E161/$K$1)*$K$2*1</f>
        <v>0</v>
      </c>
      <c r="E162" s="3">
        <f t="shared" si="4"/>
        <v>0</v>
      </c>
      <c r="F162" s="3">
        <f>E162/$K$1</f>
        <v>0</v>
      </c>
      <c r="G162" s="5">
        <f t="shared" si="5"/>
        <v>101325</v>
      </c>
    </row>
    <row r="163" spans="1:7" x14ac:dyDescent="0.25">
      <c r="A163">
        <v>2561</v>
      </c>
      <c r="B163" s="3">
        <v>0</v>
      </c>
      <c r="C163" s="3">
        <f>B163*$K$4</f>
        <v>0</v>
      </c>
      <c r="D163" s="3">
        <f>(E162/$K$1)*$K$2*1</f>
        <v>0</v>
      </c>
      <c r="E163" s="3">
        <f t="shared" si="4"/>
        <v>0</v>
      </c>
      <c r="F163" s="3">
        <f>E163/$K$1</f>
        <v>0</v>
      </c>
      <c r="G163" s="5">
        <f t="shared" si="5"/>
        <v>101325</v>
      </c>
    </row>
    <row r="164" spans="1:7" x14ac:dyDescent="0.25">
      <c r="A164">
        <v>2562</v>
      </c>
      <c r="B164" s="3">
        <v>0</v>
      </c>
      <c r="C164" s="3">
        <f>B164*$K$4</f>
        <v>0</v>
      </c>
      <c r="D164" s="3">
        <f>(E163/$K$1)*$K$2*1</f>
        <v>0</v>
      </c>
      <c r="E164" s="3">
        <f t="shared" si="4"/>
        <v>0</v>
      </c>
      <c r="F164" s="3">
        <f>E164/$K$1</f>
        <v>0</v>
      </c>
      <c r="G164" s="5">
        <f t="shared" si="5"/>
        <v>101325</v>
      </c>
    </row>
    <row r="165" spans="1:7" x14ac:dyDescent="0.25">
      <c r="A165">
        <v>2563</v>
      </c>
      <c r="B165" s="3">
        <v>0</v>
      </c>
      <c r="C165" s="3">
        <f>B165*$K$4</f>
        <v>0</v>
      </c>
      <c r="D165" s="3">
        <f>(E164/$K$1)*$K$2*1</f>
        <v>0</v>
      </c>
      <c r="E165" s="3">
        <f t="shared" si="4"/>
        <v>0</v>
      </c>
      <c r="F165" s="3">
        <f>E165/$K$1</f>
        <v>0</v>
      </c>
      <c r="G165" s="5">
        <f t="shared" si="5"/>
        <v>101325</v>
      </c>
    </row>
    <row r="166" spans="1:7" x14ac:dyDescent="0.25">
      <c r="A166">
        <v>2564</v>
      </c>
      <c r="B166" s="3">
        <v>0</v>
      </c>
      <c r="C166" s="3">
        <f>B166*$K$4</f>
        <v>0</v>
      </c>
      <c r="D166" s="3">
        <f>(E165/$K$1)*$K$2*1</f>
        <v>0</v>
      </c>
      <c r="E166" s="3">
        <f t="shared" si="4"/>
        <v>0</v>
      </c>
      <c r="F166" s="3">
        <f>E166/$K$1</f>
        <v>0</v>
      </c>
      <c r="G166" s="5">
        <f t="shared" si="5"/>
        <v>101325</v>
      </c>
    </row>
    <row r="167" spans="1:7" x14ac:dyDescent="0.25">
      <c r="A167">
        <v>2565</v>
      </c>
      <c r="B167" s="3">
        <v>0</v>
      </c>
      <c r="C167" s="3">
        <f>B167*$K$4</f>
        <v>0</v>
      </c>
      <c r="D167" s="3">
        <f>(E166/$K$1)*$K$2*1</f>
        <v>0</v>
      </c>
      <c r="E167" s="3">
        <f t="shared" si="4"/>
        <v>0</v>
      </c>
      <c r="F167" s="3">
        <f>E167/$K$1</f>
        <v>0</v>
      </c>
      <c r="G167" s="5">
        <f t="shared" si="5"/>
        <v>101325</v>
      </c>
    </row>
    <row r="168" spans="1:7" x14ac:dyDescent="0.25">
      <c r="A168">
        <v>2566</v>
      </c>
      <c r="B168" s="3">
        <v>0</v>
      </c>
      <c r="C168" s="3">
        <f>B168*$K$4</f>
        <v>0</v>
      </c>
      <c r="D168" s="3">
        <f>(E167/$K$1)*$K$2*1</f>
        <v>0</v>
      </c>
      <c r="E168" s="3">
        <f t="shared" si="4"/>
        <v>0</v>
      </c>
      <c r="F168" s="3">
        <f>E168/$K$1</f>
        <v>0</v>
      </c>
      <c r="G168" s="5">
        <f t="shared" si="5"/>
        <v>101325</v>
      </c>
    </row>
    <row r="169" spans="1:7" x14ac:dyDescent="0.25">
      <c r="A169">
        <v>2567</v>
      </c>
      <c r="B169" s="3">
        <v>0</v>
      </c>
      <c r="C169" s="3">
        <f>B169*$K$4</f>
        <v>0</v>
      </c>
      <c r="D169" s="3">
        <f>(E168/$K$1)*$K$2*1</f>
        <v>0</v>
      </c>
      <c r="E169" s="3">
        <f t="shared" si="4"/>
        <v>0</v>
      </c>
      <c r="F169" s="3">
        <f>E169/$K$1</f>
        <v>0</v>
      </c>
      <c r="G169" s="5">
        <f t="shared" si="5"/>
        <v>101325</v>
      </c>
    </row>
    <row r="170" spans="1:7" x14ac:dyDescent="0.25">
      <c r="A170">
        <v>2568</v>
      </c>
      <c r="B170" s="3">
        <v>0</v>
      </c>
      <c r="C170" s="3">
        <f>B170*$K$4</f>
        <v>0</v>
      </c>
      <c r="D170" s="3">
        <f>(E169/$K$1)*$K$2*1</f>
        <v>0</v>
      </c>
      <c r="E170" s="3">
        <f t="shared" si="4"/>
        <v>0</v>
      </c>
      <c r="F170" s="3">
        <f>E170/$K$1</f>
        <v>0</v>
      </c>
      <c r="G170" s="5">
        <f t="shared" si="5"/>
        <v>101325</v>
      </c>
    </row>
    <row r="171" spans="1:7" x14ac:dyDescent="0.25">
      <c r="A171">
        <v>2569</v>
      </c>
      <c r="B171" s="3">
        <v>0</v>
      </c>
      <c r="C171" s="3">
        <f>B171*$K$4</f>
        <v>0</v>
      </c>
      <c r="D171" s="3">
        <f>(E170/$K$1)*$K$2*1</f>
        <v>0</v>
      </c>
      <c r="E171" s="3">
        <f t="shared" si="4"/>
        <v>0</v>
      </c>
      <c r="F171" s="3">
        <f>E171/$K$1</f>
        <v>0</v>
      </c>
      <c r="G171" s="5">
        <f t="shared" si="5"/>
        <v>101325</v>
      </c>
    </row>
    <row r="172" spans="1:7" x14ac:dyDescent="0.25">
      <c r="A172">
        <v>2570</v>
      </c>
      <c r="B172" s="3">
        <v>0</v>
      </c>
      <c r="C172" s="3">
        <f>B172*$K$4</f>
        <v>0</v>
      </c>
      <c r="D172" s="3">
        <f>(E171/$K$1)*$K$2*1</f>
        <v>0</v>
      </c>
      <c r="E172" s="3">
        <f t="shared" si="4"/>
        <v>0</v>
      </c>
      <c r="F172" s="3">
        <f>E172/$K$1</f>
        <v>0</v>
      </c>
      <c r="G172" s="5">
        <f t="shared" si="5"/>
        <v>101325</v>
      </c>
    </row>
    <row r="173" spans="1:7" x14ac:dyDescent="0.25">
      <c r="A173">
        <v>2571</v>
      </c>
      <c r="B173" s="3">
        <v>0</v>
      </c>
      <c r="C173" s="3">
        <f>B173*$K$4</f>
        <v>0</v>
      </c>
      <c r="D173" s="3">
        <f>(E172/$K$1)*$K$2*1</f>
        <v>0</v>
      </c>
      <c r="E173" s="3">
        <f t="shared" si="4"/>
        <v>0</v>
      </c>
      <c r="F173" s="3">
        <f>E173/$K$1</f>
        <v>0</v>
      </c>
      <c r="G173" s="5">
        <f t="shared" si="5"/>
        <v>101325</v>
      </c>
    </row>
    <row r="174" spans="1:7" x14ac:dyDescent="0.25">
      <c r="A174">
        <v>2572</v>
      </c>
      <c r="B174" s="3">
        <v>0</v>
      </c>
      <c r="C174" s="3">
        <f>B174*$K$4</f>
        <v>0</v>
      </c>
      <c r="D174" s="3">
        <f>(E173/$K$1)*$K$2*1</f>
        <v>0</v>
      </c>
      <c r="E174" s="3">
        <f t="shared" si="4"/>
        <v>0</v>
      </c>
      <c r="F174" s="3">
        <f>E174/$K$1</f>
        <v>0</v>
      </c>
      <c r="G174" s="5">
        <f t="shared" si="5"/>
        <v>101325</v>
      </c>
    </row>
    <row r="175" spans="1:7" x14ac:dyDescent="0.25">
      <c r="A175">
        <v>2573</v>
      </c>
      <c r="B175" s="3">
        <v>0</v>
      </c>
      <c r="C175" s="3">
        <f>B175*$K$4</f>
        <v>0</v>
      </c>
      <c r="D175" s="3">
        <f>(E174/$K$1)*$K$2*1</f>
        <v>0</v>
      </c>
      <c r="E175" s="3">
        <f t="shared" si="4"/>
        <v>0</v>
      </c>
      <c r="F175" s="3">
        <f>E175/$K$1</f>
        <v>0</v>
      </c>
      <c r="G175" s="5">
        <f t="shared" si="5"/>
        <v>101325</v>
      </c>
    </row>
    <row r="176" spans="1:7" x14ac:dyDescent="0.25">
      <c r="A176">
        <v>2574</v>
      </c>
      <c r="B176" s="3">
        <v>0</v>
      </c>
      <c r="C176" s="3">
        <f>B176*$K$4</f>
        <v>0</v>
      </c>
      <c r="D176" s="3">
        <f>(E175/$K$1)*$K$2*1</f>
        <v>0</v>
      </c>
      <c r="E176" s="3">
        <f t="shared" si="4"/>
        <v>0</v>
      </c>
      <c r="F176" s="3">
        <f>E176/$K$1</f>
        <v>0</v>
      </c>
      <c r="G176" s="5">
        <f t="shared" si="5"/>
        <v>101325</v>
      </c>
    </row>
    <row r="177" spans="1:7" x14ac:dyDescent="0.25">
      <c r="A177">
        <v>2575</v>
      </c>
      <c r="B177" s="3">
        <v>0</v>
      </c>
      <c r="C177" s="3">
        <f>B177*$K$4</f>
        <v>0</v>
      </c>
      <c r="D177" s="3">
        <f>(E176/$K$1)*$K$2*1</f>
        <v>0</v>
      </c>
      <c r="E177" s="3">
        <f t="shared" si="4"/>
        <v>0</v>
      </c>
      <c r="F177" s="3">
        <f>E177/$K$1</f>
        <v>0</v>
      </c>
      <c r="G177" s="5">
        <f t="shared" si="5"/>
        <v>101325</v>
      </c>
    </row>
    <row r="178" spans="1:7" x14ac:dyDescent="0.25">
      <c r="A178">
        <v>2576</v>
      </c>
      <c r="B178" s="3">
        <v>0</v>
      </c>
      <c r="C178" s="3">
        <f>B178*$K$4</f>
        <v>0</v>
      </c>
      <c r="D178" s="3">
        <f>(E177/$K$1)*$K$2*1</f>
        <v>0</v>
      </c>
      <c r="E178" s="3">
        <f t="shared" si="4"/>
        <v>0</v>
      </c>
      <c r="F178" s="3">
        <f>E178/$K$1</f>
        <v>0</v>
      </c>
      <c r="G178" s="5">
        <f t="shared" si="5"/>
        <v>101325</v>
      </c>
    </row>
    <row r="179" spans="1:7" x14ac:dyDescent="0.25">
      <c r="A179">
        <v>2577</v>
      </c>
      <c r="B179" s="3">
        <v>0</v>
      </c>
      <c r="C179" s="3">
        <f>B179*$K$4</f>
        <v>0</v>
      </c>
      <c r="D179" s="3">
        <f>(E178/$K$1)*$K$2*1</f>
        <v>0</v>
      </c>
      <c r="E179" s="3">
        <f t="shared" si="4"/>
        <v>0</v>
      </c>
      <c r="F179" s="3">
        <f>E179/$K$1</f>
        <v>0</v>
      </c>
      <c r="G179" s="5">
        <f t="shared" si="5"/>
        <v>101325</v>
      </c>
    </row>
    <row r="180" spans="1:7" x14ac:dyDescent="0.25">
      <c r="A180">
        <v>2578</v>
      </c>
      <c r="B180" s="3">
        <v>0</v>
      </c>
      <c r="C180" s="3">
        <f>B180*$K$4</f>
        <v>0</v>
      </c>
      <c r="D180" s="3">
        <f>(E179/$K$1)*$K$2*1</f>
        <v>0</v>
      </c>
      <c r="E180" s="3">
        <f t="shared" si="4"/>
        <v>0</v>
      </c>
      <c r="F180" s="3">
        <f>E180/$K$1</f>
        <v>0</v>
      </c>
      <c r="G180" s="5">
        <f t="shared" si="5"/>
        <v>101325</v>
      </c>
    </row>
    <row r="181" spans="1:7" x14ac:dyDescent="0.25">
      <c r="A181">
        <v>2579</v>
      </c>
      <c r="B181" s="3">
        <v>0</v>
      </c>
      <c r="C181" s="3">
        <f>B181*$K$4</f>
        <v>0</v>
      </c>
      <c r="D181" s="3">
        <f>(E180/$K$1)*$K$2*1</f>
        <v>0</v>
      </c>
      <c r="E181" s="3">
        <f t="shared" si="4"/>
        <v>0</v>
      </c>
      <c r="F181" s="3">
        <f>E181/$K$1</f>
        <v>0</v>
      </c>
      <c r="G181" s="5">
        <f t="shared" si="5"/>
        <v>101325</v>
      </c>
    </row>
    <row r="182" spans="1:7" x14ac:dyDescent="0.25">
      <c r="A182">
        <v>2580</v>
      </c>
      <c r="B182" s="3">
        <v>0</v>
      </c>
      <c r="C182" s="3">
        <f>B182*$K$4</f>
        <v>0</v>
      </c>
      <c r="D182" s="3">
        <f>(E181/$K$1)*$K$2*1</f>
        <v>0</v>
      </c>
      <c r="E182" s="3">
        <f t="shared" si="4"/>
        <v>0</v>
      </c>
      <c r="F182" s="3">
        <f>E182/$K$1</f>
        <v>0</v>
      </c>
      <c r="G182" s="5">
        <f t="shared" si="5"/>
        <v>101325</v>
      </c>
    </row>
    <row r="183" spans="1:7" x14ac:dyDescent="0.25">
      <c r="A183">
        <v>2581</v>
      </c>
      <c r="B183" s="3">
        <v>0</v>
      </c>
      <c r="C183" s="3">
        <f>B183*$K$4</f>
        <v>0</v>
      </c>
      <c r="D183" s="3">
        <f>(E182/$K$1)*$K$2*1</f>
        <v>0</v>
      </c>
      <c r="E183" s="3">
        <f t="shared" si="4"/>
        <v>0</v>
      </c>
      <c r="F183" s="3">
        <f>E183/$K$1</f>
        <v>0</v>
      </c>
      <c r="G183" s="5">
        <f t="shared" si="5"/>
        <v>101325</v>
      </c>
    </row>
    <row r="184" spans="1:7" x14ac:dyDescent="0.25">
      <c r="A184">
        <v>2582</v>
      </c>
      <c r="B184" s="3">
        <v>0</v>
      </c>
      <c r="C184" s="3">
        <f>B184*$K$4</f>
        <v>0</v>
      </c>
      <c r="D184" s="3">
        <f>(E183/$K$1)*$K$2*1</f>
        <v>0</v>
      </c>
      <c r="E184" s="3">
        <f t="shared" si="4"/>
        <v>0</v>
      </c>
      <c r="F184" s="3">
        <f>E184/$K$1</f>
        <v>0</v>
      </c>
      <c r="G184" s="5">
        <f t="shared" si="5"/>
        <v>101325</v>
      </c>
    </row>
    <row r="185" spans="1:7" x14ac:dyDescent="0.25">
      <c r="A185">
        <v>2583</v>
      </c>
      <c r="B185" s="3">
        <v>0</v>
      </c>
      <c r="C185" s="3">
        <f>B185*$K$4</f>
        <v>0</v>
      </c>
      <c r="D185" s="3">
        <f>(E184/$K$1)*$K$2*1</f>
        <v>0</v>
      </c>
      <c r="E185" s="3">
        <f t="shared" si="4"/>
        <v>0</v>
      </c>
      <c r="F185" s="3">
        <f>E185/$K$1</f>
        <v>0</v>
      </c>
      <c r="G185" s="5">
        <f t="shared" si="5"/>
        <v>101325</v>
      </c>
    </row>
    <row r="186" spans="1:7" x14ac:dyDescent="0.25">
      <c r="A186">
        <v>2584</v>
      </c>
      <c r="B186" s="3">
        <v>0</v>
      </c>
      <c r="C186" s="3">
        <f>B186*$K$4</f>
        <v>0</v>
      </c>
      <c r="D186" s="3">
        <f>(E185/$K$1)*$K$2*1</f>
        <v>0</v>
      </c>
      <c r="E186" s="3">
        <f t="shared" si="4"/>
        <v>0</v>
      </c>
      <c r="F186" s="3">
        <f>E186/$K$1</f>
        <v>0</v>
      </c>
      <c r="G186" s="5">
        <f t="shared" si="5"/>
        <v>101325</v>
      </c>
    </row>
    <row r="187" spans="1:7" x14ac:dyDescent="0.25">
      <c r="A187">
        <v>2585</v>
      </c>
      <c r="B187" s="3">
        <v>0</v>
      </c>
      <c r="C187" s="3">
        <f>B187*$K$4</f>
        <v>0</v>
      </c>
      <c r="D187" s="3">
        <f>(E186/$K$1)*$K$2*1</f>
        <v>0</v>
      </c>
      <c r="E187" s="3">
        <f t="shared" si="4"/>
        <v>0</v>
      </c>
      <c r="F187" s="3">
        <f>E187/$K$1</f>
        <v>0</v>
      </c>
      <c r="G187" s="5">
        <f t="shared" si="5"/>
        <v>101325</v>
      </c>
    </row>
    <row r="188" spans="1:7" x14ac:dyDescent="0.25">
      <c r="A188">
        <v>2586</v>
      </c>
      <c r="B188" s="3">
        <v>0</v>
      </c>
      <c r="C188" s="3">
        <f>B188*$K$4</f>
        <v>0</v>
      </c>
      <c r="D188" s="3">
        <f>(E187/$K$1)*$K$2*1</f>
        <v>0</v>
      </c>
      <c r="E188" s="3">
        <f t="shared" si="4"/>
        <v>0</v>
      </c>
      <c r="F188" s="3">
        <f>E188/$K$1</f>
        <v>0</v>
      </c>
      <c r="G188" s="5">
        <f t="shared" si="5"/>
        <v>101325</v>
      </c>
    </row>
    <row r="189" spans="1:7" x14ac:dyDescent="0.25">
      <c r="A189">
        <v>2587</v>
      </c>
      <c r="B189" s="3">
        <v>0</v>
      </c>
      <c r="C189" s="3">
        <f>B189*$K$4</f>
        <v>0</v>
      </c>
      <c r="D189" s="3">
        <f>(E188/$K$1)*$K$2*1</f>
        <v>0</v>
      </c>
      <c r="E189" s="3">
        <f t="shared" si="4"/>
        <v>0</v>
      </c>
      <c r="F189" s="3">
        <f>E189/$K$1</f>
        <v>0</v>
      </c>
      <c r="G189" s="5">
        <f t="shared" si="5"/>
        <v>101325</v>
      </c>
    </row>
    <row r="190" spans="1:7" x14ac:dyDescent="0.25">
      <c r="A190">
        <v>2588</v>
      </c>
      <c r="B190" s="3">
        <v>0</v>
      </c>
      <c r="C190" s="3">
        <f>B190*$K$4</f>
        <v>0</v>
      </c>
      <c r="D190" s="3">
        <f>(E189/$K$1)*$K$2*1</f>
        <v>0</v>
      </c>
      <c r="E190" s="3">
        <f t="shared" si="4"/>
        <v>0</v>
      </c>
      <c r="F190" s="3">
        <f>E190/$K$1</f>
        <v>0</v>
      </c>
      <c r="G190" s="5">
        <f t="shared" si="5"/>
        <v>101325</v>
      </c>
    </row>
    <row r="191" spans="1:7" x14ac:dyDescent="0.25">
      <c r="A191">
        <v>2589</v>
      </c>
      <c r="B191" s="3">
        <v>0</v>
      </c>
      <c r="C191" s="3">
        <f>B191*$K$4</f>
        <v>0</v>
      </c>
      <c r="D191" s="3">
        <f>(E190/$K$1)*$K$2*1</f>
        <v>0</v>
      </c>
      <c r="E191" s="3">
        <f t="shared" si="4"/>
        <v>0</v>
      </c>
      <c r="F191" s="3">
        <f>E191/$K$1</f>
        <v>0</v>
      </c>
      <c r="G191" s="5">
        <f t="shared" si="5"/>
        <v>101325</v>
      </c>
    </row>
    <row r="192" spans="1:7" x14ac:dyDescent="0.25">
      <c r="A192">
        <v>2590</v>
      </c>
      <c r="B192" s="3">
        <v>0</v>
      </c>
      <c r="C192" s="3">
        <f>B192*$K$4</f>
        <v>0</v>
      </c>
      <c r="D192" s="3">
        <f>(E191/$K$1)*$K$2*1</f>
        <v>0</v>
      </c>
      <c r="E192" s="3">
        <f t="shared" si="4"/>
        <v>0</v>
      </c>
      <c r="F192" s="3">
        <f>E192/$K$1</f>
        <v>0</v>
      </c>
      <c r="G192" s="5">
        <f t="shared" si="5"/>
        <v>101325</v>
      </c>
    </row>
    <row r="193" spans="1:7" x14ac:dyDescent="0.25">
      <c r="A193">
        <v>2591</v>
      </c>
      <c r="B193" s="3">
        <v>0</v>
      </c>
      <c r="C193" s="3">
        <f>B193*$K$4</f>
        <v>0</v>
      </c>
      <c r="D193" s="3">
        <f>(E192/$K$1)*$K$2*1</f>
        <v>0</v>
      </c>
      <c r="E193" s="3">
        <f t="shared" si="4"/>
        <v>0</v>
      </c>
      <c r="F193" s="3">
        <f>E193/$K$1</f>
        <v>0</v>
      </c>
      <c r="G193" s="5">
        <f t="shared" si="5"/>
        <v>101325</v>
      </c>
    </row>
    <row r="194" spans="1:7" x14ac:dyDescent="0.25">
      <c r="A194">
        <v>2592</v>
      </c>
      <c r="B194" s="3">
        <v>0</v>
      </c>
      <c r="C194" s="3">
        <f>B194*$K$4</f>
        <v>0</v>
      </c>
      <c r="D194" s="3">
        <f>(E193/$K$1)*$K$2*1</f>
        <v>0</v>
      </c>
      <c r="E194" s="3">
        <f t="shared" si="4"/>
        <v>0</v>
      </c>
      <c r="F194" s="3">
        <f>E194/$K$1</f>
        <v>0</v>
      </c>
      <c r="G194" s="5">
        <f t="shared" si="5"/>
        <v>101325</v>
      </c>
    </row>
    <row r="195" spans="1:7" x14ac:dyDescent="0.25">
      <c r="A195">
        <v>2593</v>
      </c>
      <c r="B195" s="3">
        <v>0</v>
      </c>
      <c r="C195" s="3">
        <f>B195*$K$4</f>
        <v>0</v>
      </c>
      <c r="D195" s="3">
        <f>(E194/$K$1)*$K$2*1</f>
        <v>0</v>
      </c>
      <c r="E195" s="3">
        <f t="shared" si="4"/>
        <v>0</v>
      </c>
      <c r="F195" s="3">
        <f>E195/$K$1</f>
        <v>0</v>
      </c>
      <c r="G195" s="5">
        <f t="shared" si="5"/>
        <v>101325</v>
      </c>
    </row>
    <row r="196" spans="1:7" x14ac:dyDescent="0.25">
      <c r="A196">
        <v>2594</v>
      </c>
      <c r="B196" s="3">
        <v>0</v>
      </c>
      <c r="C196" s="3">
        <f>B196*$K$4</f>
        <v>0</v>
      </c>
      <c r="D196" s="3">
        <f>(E195/$K$1)*$K$2*1</f>
        <v>0</v>
      </c>
      <c r="E196" s="3">
        <f t="shared" ref="E196:E259" si="6">E195+C196-D196</f>
        <v>0</v>
      </c>
      <c r="F196" s="3">
        <f>E196/$K$1</f>
        <v>0</v>
      </c>
      <c r="G196" s="5">
        <f t="shared" ref="G196:G259" si="7">G195+C196-$K$5*$K$9*SQRT(MAX(0,2*$K$6*(G195-$K$11)))</f>
        <v>101325</v>
      </c>
    </row>
    <row r="197" spans="1:7" x14ac:dyDescent="0.25">
      <c r="A197">
        <v>2595</v>
      </c>
      <c r="B197" s="3">
        <v>0</v>
      </c>
      <c r="C197" s="3">
        <f>B197*$K$4</f>
        <v>0</v>
      </c>
      <c r="D197" s="3">
        <f>(E196/$K$1)*$K$2*1</f>
        <v>0</v>
      </c>
      <c r="E197" s="3">
        <f t="shared" si="6"/>
        <v>0</v>
      </c>
      <c r="F197" s="3">
        <f>E197/$K$1</f>
        <v>0</v>
      </c>
      <c r="G197" s="5">
        <f t="shared" si="7"/>
        <v>101325</v>
      </c>
    </row>
    <row r="198" spans="1:7" x14ac:dyDescent="0.25">
      <c r="A198">
        <v>2596</v>
      </c>
      <c r="B198" s="3">
        <v>0</v>
      </c>
      <c r="C198" s="3">
        <f>B198*$K$4</f>
        <v>0</v>
      </c>
      <c r="D198" s="3">
        <f>(E197/$K$1)*$K$2*1</f>
        <v>0</v>
      </c>
      <c r="E198" s="3">
        <f t="shared" si="6"/>
        <v>0</v>
      </c>
      <c r="F198" s="3">
        <f>E198/$K$1</f>
        <v>0</v>
      </c>
      <c r="G198" s="5">
        <f t="shared" si="7"/>
        <v>101325</v>
      </c>
    </row>
    <row r="199" spans="1:7" x14ac:dyDescent="0.25">
      <c r="A199">
        <v>2597</v>
      </c>
      <c r="B199" s="3">
        <v>0</v>
      </c>
      <c r="C199" s="3">
        <f>B199*$K$4</f>
        <v>0</v>
      </c>
      <c r="D199" s="3">
        <f>(E198/$K$1)*$K$2*1</f>
        <v>0</v>
      </c>
      <c r="E199" s="3">
        <f t="shared" si="6"/>
        <v>0</v>
      </c>
      <c r="F199" s="3">
        <f>E199/$K$1</f>
        <v>0</v>
      </c>
      <c r="G199" s="5">
        <f t="shared" si="7"/>
        <v>101325</v>
      </c>
    </row>
    <row r="200" spans="1:7" x14ac:dyDescent="0.25">
      <c r="A200">
        <v>2598</v>
      </c>
      <c r="B200" s="3">
        <v>0</v>
      </c>
      <c r="C200" s="3">
        <f>B200*$K$4</f>
        <v>0</v>
      </c>
      <c r="D200" s="3">
        <f>(E199/$K$1)*$K$2*1</f>
        <v>0</v>
      </c>
      <c r="E200" s="3">
        <f t="shared" si="6"/>
        <v>0</v>
      </c>
      <c r="F200" s="3">
        <f>E200/$K$1</f>
        <v>0</v>
      </c>
      <c r="G200" s="5">
        <f t="shared" si="7"/>
        <v>101325</v>
      </c>
    </row>
    <row r="201" spans="1:7" x14ac:dyDescent="0.25">
      <c r="A201">
        <v>2599</v>
      </c>
      <c r="B201" s="3">
        <v>0</v>
      </c>
      <c r="C201" s="3">
        <f>B201*$K$4</f>
        <v>0</v>
      </c>
      <c r="D201" s="3">
        <f>(E200/$K$1)*$K$2*1</f>
        <v>0</v>
      </c>
      <c r="E201" s="3">
        <f t="shared" si="6"/>
        <v>0</v>
      </c>
      <c r="F201" s="3">
        <f>E201/$K$1</f>
        <v>0</v>
      </c>
      <c r="G201" s="5">
        <f t="shared" si="7"/>
        <v>101325</v>
      </c>
    </row>
    <row r="202" spans="1:7" x14ac:dyDescent="0.25">
      <c r="A202">
        <v>2600</v>
      </c>
      <c r="B202" s="3">
        <v>0</v>
      </c>
      <c r="C202" s="3">
        <f>B202*$K$4</f>
        <v>0</v>
      </c>
      <c r="D202" s="3">
        <f>(E201/$K$1)*$K$2*1</f>
        <v>0</v>
      </c>
      <c r="E202" s="3">
        <f t="shared" si="6"/>
        <v>0</v>
      </c>
      <c r="F202" s="3">
        <f>E202/$K$1</f>
        <v>0</v>
      </c>
      <c r="G202" s="5">
        <f t="shared" si="7"/>
        <v>101325</v>
      </c>
    </row>
    <row r="203" spans="1:7" x14ac:dyDescent="0.25">
      <c r="A203">
        <v>2601</v>
      </c>
      <c r="B203" s="3">
        <v>0</v>
      </c>
      <c r="C203" s="3">
        <f>B203*$K$4</f>
        <v>0</v>
      </c>
      <c r="D203" s="3">
        <f>(E202/$K$1)*$K$2*1</f>
        <v>0</v>
      </c>
      <c r="E203" s="3">
        <f t="shared" si="6"/>
        <v>0</v>
      </c>
      <c r="F203" s="3">
        <f>E203/$K$1</f>
        <v>0</v>
      </c>
      <c r="G203" s="5">
        <f t="shared" si="7"/>
        <v>101325</v>
      </c>
    </row>
    <row r="204" spans="1:7" x14ac:dyDescent="0.25">
      <c r="A204">
        <v>2602</v>
      </c>
      <c r="B204" s="3">
        <v>0</v>
      </c>
      <c r="C204" s="3">
        <f>B204*$K$4</f>
        <v>0</v>
      </c>
      <c r="D204" s="3">
        <f>(E203/$K$1)*$K$2*1</f>
        <v>0</v>
      </c>
      <c r="E204" s="3">
        <f t="shared" si="6"/>
        <v>0</v>
      </c>
      <c r="F204" s="3">
        <f>E204/$K$1</f>
        <v>0</v>
      </c>
      <c r="G204" s="5">
        <f t="shared" si="7"/>
        <v>101325</v>
      </c>
    </row>
    <row r="205" spans="1:7" x14ac:dyDescent="0.25">
      <c r="A205">
        <v>2603</v>
      </c>
      <c r="B205" s="3">
        <v>0</v>
      </c>
      <c r="C205" s="3">
        <f>B205*$K$4</f>
        <v>0</v>
      </c>
      <c r="D205" s="3">
        <f>(E204/$K$1)*$K$2*1</f>
        <v>0</v>
      </c>
      <c r="E205" s="3">
        <f t="shared" si="6"/>
        <v>0</v>
      </c>
      <c r="F205" s="3">
        <f>E205/$K$1</f>
        <v>0</v>
      </c>
      <c r="G205" s="5">
        <f t="shared" si="7"/>
        <v>101325</v>
      </c>
    </row>
    <row r="206" spans="1:7" x14ac:dyDescent="0.25">
      <c r="A206">
        <v>2604</v>
      </c>
      <c r="B206" s="3">
        <v>0</v>
      </c>
      <c r="C206" s="3">
        <f>B206*$K$4</f>
        <v>0</v>
      </c>
      <c r="D206" s="3">
        <f>(E205/$K$1)*$K$2*1</f>
        <v>0</v>
      </c>
      <c r="E206" s="3">
        <f t="shared" si="6"/>
        <v>0</v>
      </c>
      <c r="F206" s="3">
        <f>E206/$K$1</f>
        <v>0</v>
      </c>
      <c r="G206" s="5">
        <f t="shared" si="7"/>
        <v>101325</v>
      </c>
    </row>
    <row r="207" spans="1:7" x14ac:dyDescent="0.25">
      <c r="A207">
        <v>2605</v>
      </c>
      <c r="B207" s="3">
        <v>0</v>
      </c>
      <c r="C207" s="3">
        <f>B207*$K$4</f>
        <v>0</v>
      </c>
      <c r="D207" s="3">
        <f>(E206/$K$1)*$K$2*1</f>
        <v>0</v>
      </c>
      <c r="E207" s="3">
        <f t="shared" si="6"/>
        <v>0</v>
      </c>
      <c r="F207" s="3">
        <f>E207/$K$1</f>
        <v>0</v>
      </c>
      <c r="G207" s="5">
        <f t="shared" si="7"/>
        <v>101325</v>
      </c>
    </row>
    <row r="208" spans="1:7" x14ac:dyDescent="0.25">
      <c r="A208">
        <v>2606</v>
      </c>
      <c r="B208" s="3">
        <v>0</v>
      </c>
      <c r="C208" s="3">
        <f>B208*$K$4</f>
        <v>0</v>
      </c>
      <c r="D208" s="3">
        <f>(E207/$K$1)*$K$2*1</f>
        <v>0</v>
      </c>
      <c r="E208" s="3">
        <f t="shared" si="6"/>
        <v>0</v>
      </c>
      <c r="F208" s="3">
        <f>E208/$K$1</f>
        <v>0</v>
      </c>
      <c r="G208" s="5">
        <f t="shared" si="7"/>
        <v>101325</v>
      </c>
    </row>
    <row r="209" spans="1:7" x14ac:dyDescent="0.25">
      <c r="A209">
        <v>2607</v>
      </c>
      <c r="B209" s="3">
        <v>0</v>
      </c>
      <c r="C209" s="3">
        <f>B209*$K$4</f>
        <v>0</v>
      </c>
      <c r="D209" s="3">
        <f>(E208/$K$1)*$K$2*1</f>
        <v>0</v>
      </c>
      <c r="E209" s="3">
        <f t="shared" si="6"/>
        <v>0</v>
      </c>
      <c r="F209" s="3">
        <f>E209/$K$1</f>
        <v>0</v>
      </c>
      <c r="G209" s="5">
        <f t="shared" si="7"/>
        <v>101325</v>
      </c>
    </row>
    <row r="210" spans="1:7" x14ac:dyDescent="0.25">
      <c r="A210">
        <v>2608</v>
      </c>
      <c r="B210" s="3">
        <v>0</v>
      </c>
      <c r="C210" s="3">
        <f>B210*$K$4</f>
        <v>0</v>
      </c>
      <c r="D210" s="3">
        <f>(E209/$K$1)*$K$2*1</f>
        <v>0</v>
      </c>
      <c r="E210" s="3">
        <f t="shared" si="6"/>
        <v>0</v>
      </c>
      <c r="F210" s="3">
        <f>E210/$K$1</f>
        <v>0</v>
      </c>
      <c r="G210" s="5">
        <f t="shared" si="7"/>
        <v>101325</v>
      </c>
    </row>
    <row r="211" spans="1:7" x14ac:dyDescent="0.25">
      <c r="A211">
        <v>2609</v>
      </c>
      <c r="B211" s="3">
        <v>0</v>
      </c>
      <c r="C211" s="3">
        <f>B211*$K$4</f>
        <v>0</v>
      </c>
      <c r="D211" s="3">
        <f>(E210/$K$1)*$K$2*1</f>
        <v>0</v>
      </c>
      <c r="E211" s="3">
        <f t="shared" si="6"/>
        <v>0</v>
      </c>
      <c r="F211" s="3">
        <f>E211/$K$1</f>
        <v>0</v>
      </c>
      <c r="G211" s="5">
        <f t="shared" si="7"/>
        <v>101325</v>
      </c>
    </row>
    <row r="212" spans="1:7" x14ac:dyDescent="0.25">
      <c r="A212">
        <v>2610</v>
      </c>
      <c r="B212" s="3">
        <v>0</v>
      </c>
      <c r="C212" s="3">
        <f>B212*$K$4</f>
        <v>0</v>
      </c>
      <c r="D212" s="3">
        <f>(E211/$K$1)*$K$2*1</f>
        <v>0</v>
      </c>
      <c r="E212" s="3">
        <f t="shared" si="6"/>
        <v>0</v>
      </c>
      <c r="F212" s="3">
        <f>E212/$K$1</f>
        <v>0</v>
      </c>
      <c r="G212" s="5">
        <f t="shared" si="7"/>
        <v>101325</v>
      </c>
    </row>
    <row r="213" spans="1:7" x14ac:dyDescent="0.25">
      <c r="A213">
        <v>2611</v>
      </c>
      <c r="B213" s="3">
        <v>0</v>
      </c>
      <c r="C213" s="3">
        <f>B213*$K$4</f>
        <v>0</v>
      </c>
      <c r="D213" s="3">
        <f>(E212/$K$1)*$K$2*1</f>
        <v>0</v>
      </c>
      <c r="E213" s="3">
        <f t="shared" si="6"/>
        <v>0</v>
      </c>
      <c r="F213" s="3">
        <f>E213/$K$1</f>
        <v>0</v>
      </c>
      <c r="G213" s="5">
        <f t="shared" si="7"/>
        <v>101325</v>
      </c>
    </row>
    <row r="214" spans="1:7" x14ac:dyDescent="0.25">
      <c r="A214">
        <v>2612</v>
      </c>
      <c r="B214" s="3">
        <v>0</v>
      </c>
      <c r="C214" s="3">
        <f>B214*$K$4</f>
        <v>0</v>
      </c>
      <c r="D214" s="3">
        <f>(E213/$K$1)*$K$2*1</f>
        <v>0</v>
      </c>
      <c r="E214" s="3">
        <f t="shared" si="6"/>
        <v>0</v>
      </c>
      <c r="F214" s="3">
        <f>E214/$K$1</f>
        <v>0</v>
      </c>
      <c r="G214" s="5">
        <f t="shared" si="7"/>
        <v>101325</v>
      </c>
    </row>
    <row r="215" spans="1:7" x14ac:dyDescent="0.25">
      <c r="A215">
        <v>2613</v>
      </c>
      <c r="B215" s="3">
        <v>2.6848545057899198E-4</v>
      </c>
      <c r="C215" s="3">
        <f>B215*$K$4</f>
        <v>2.6848545057899198E-4</v>
      </c>
      <c r="D215" s="3">
        <f>(E214/$K$1)*$K$2*1</f>
        <v>0</v>
      </c>
      <c r="E215" s="3">
        <f t="shared" si="6"/>
        <v>2.6848545057899198E-4</v>
      </c>
      <c r="F215" s="3">
        <f>E215/$K$1</f>
        <v>3.3281945032724929E-5</v>
      </c>
      <c r="G215" s="5">
        <f t="shared" si="7"/>
        <v>101325.00026848546</v>
      </c>
    </row>
    <row r="216" spans="1:7" x14ac:dyDescent="0.25">
      <c r="A216">
        <v>2614</v>
      </c>
      <c r="B216" s="3">
        <v>3.27444691120688E-4</v>
      </c>
      <c r="C216" s="3">
        <f>B216*$K$4</f>
        <v>3.27444691120688E-4</v>
      </c>
      <c r="D216" s="3">
        <f>(E215/$K$1)*$K$2*1</f>
        <v>2.1633264271271205E-6</v>
      </c>
      <c r="E216" s="3">
        <f t="shared" si="6"/>
        <v>5.9376681527255283E-4</v>
      </c>
      <c r="F216" s="3">
        <f>E216/$K$1</f>
        <v>7.3604414933996879E-5</v>
      </c>
      <c r="G216" s="5">
        <f t="shared" si="7"/>
        <v>101325.00055551399</v>
      </c>
    </row>
    <row r="217" spans="1:7" x14ac:dyDescent="0.25">
      <c r="A217">
        <v>2615</v>
      </c>
      <c r="B217" s="3">
        <v>3.9088826667822002E-4</v>
      </c>
      <c r="C217" s="3">
        <f>B217*$K$4</f>
        <v>3.9088826667822002E-4</v>
      </c>
      <c r="D217" s="3">
        <f>(E216/$K$1)*$K$2*1</f>
        <v>4.7842869707097976E-6</v>
      </c>
      <c r="E217" s="3">
        <f t="shared" si="6"/>
        <v>9.7987079498006299E-4</v>
      </c>
      <c r="F217" s="3">
        <f>E217/$K$1</f>
        <v>1.2146656687493033E-4</v>
      </c>
      <c r="G217" s="5">
        <f t="shared" si="7"/>
        <v>101325.00088826666</v>
      </c>
    </row>
    <row r="218" spans="1:7" x14ac:dyDescent="0.25">
      <c r="A218">
        <v>2616</v>
      </c>
      <c r="B218" s="3">
        <v>4.5833333333334297E-4</v>
      </c>
      <c r="C218" s="3">
        <f>B218*$K$4</f>
        <v>4.5833333333334297E-4</v>
      </c>
      <c r="D218" s="3">
        <f>(E217/$K$1)*$K$2*1</f>
        <v>7.895326846870471E-6</v>
      </c>
      <c r="E218" s="3">
        <f t="shared" si="6"/>
        <v>1.4303088014665354E-3</v>
      </c>
      <c r="F218" s="3">
        <f>E218/$K$1</f>
        <v>1.7730368184784126E-4</v>
      </c>
      <c r="G218" s="5">
        <f t="shared" si="7"/>
        <v>101325.00127308663</v>
      </c>
    </row>
    <row r="219" spans="1:7" x14ac:dyDescent="0.25">
      <c r="A219">
        <v>2617</v>
      </c>
      <c r="B219" s="3">
        <v>5.2926659340436495E-4</v>
      </c>
      <c r="C219" s="3">
        <f>B219*$K$4</f>
        <v>5.2926659340436495E-4</v>
      </c>
      <c r="D219" s="3">
        <f>(E218/$K$1)*$K$2*1</f>
        <v>1.1524739320109682E-5</v>
      </c>
      <c r="E219" s="3">
        <f t="shared" si="6"/>
        <v>1.948050655550791E-3</v>
      </c>
      <c r="F219" s="3">
        <f>E219/$K$1</f>
        <v>2.4148390424579038E-4</v>
      </c>
      <c r="G219" s="5">
        <f t="shared" si="7"/>
        <v>101325.00171434492</v>
      </c>
    </row>
    <row r="220" spans="1:7" x14ac:dyDescent="0.25">
      <c r="A220">
        <v>2618</v>
      </c>
      <c r="B220" s="3">
        <v>6.03148201951472E-4</v>
      </c>
      <c r="C220" s="3">
        <f>B220*$K$4</f>
        <v>6.03148201951472E-4</v>
      </c>
      <c r="D220" s="3">
        <f>(E219/$K$1)*$K$2*1</f>
        <v>1.5696453775976376E-5</v>
      </c>
      <c r="E220" s="3">
        <f t="shared" si="6"/>
        <v>2.5355024037262866E-3</v>
      </c>
      <c r="F220" s="3">
        <f>E220/$K$1</f>
        <v>3.1430549197053258E-4</v>
      </c>
      <c r="G220" s="5">
        <f t="shared" si="7"/>
        <v>101325.00221536538</v>
      </c>
    </row>
    <row r="221" spans="1:7" x14ac:dyDescent="0.25">
      <c r="A221">
        <v>2619</v>
      </c>
      <c r="B221" s="3">
        <v>6.7941587532268602E-4</v>
      </c>
      <c r="C221" s="3">
        <f>B221*$K$4</f>
        <v>6.7941587532268602E-4</v>
      </c>
      <c r="D221" s="3">
        <f>(E220/$K$1)*$K$2*1</f>
        <v>2.042985697808462E-5</v>
      </c>
      <c r="E221" s="3">
        <f t="shared" si="6"/>
        <v>3.1944884220708879E-3</v>
      </c>
      <c r="F221" s="3">
        <f>E221/$K$1</f>
        <v>3.9599459800060589E-4</v>
      </c>
      <c r="G221" s="5">
        <f t="shared" si="7"/>
        <v>101325.00277868524</v>
      </c>
    </row>
    <row r="222" spans="1:7" x14ac:dyDescent="0.25">
      <c r="A222">
        <v>2620</v>
      </c>
      <c r="B222" s="3">
        <v>7.5748917047197299E-4</v>
      </c>
      <c r="C222" s="3">
        <f>B222*$K$4</f>
        <v>7.5748917047197299E-4</v>
      </c>
      <c r="D222" s="3">
        <f>(E221/$K$1)*$K$2*1</f>
        <v>2.5739648870039383E-5</v>
      </c>
      <c r="E222" s="3">
        <f t="shared" si="6"/>
        <v>3.9262379436728213E-3</v>
      </c>
      <c r="F222" s="3">
        <f>E222/$K$1</f>
        <v>4.8670360030653539E-4</v>
      </c>
      <c r="G222" s="5">
        <f t="shared" si="7"/>
        <v>101325.00340615318</v>
      </c>
    </row>
    <row r="223" spans="1:7" x14ac:dyDescent="0.25">
      <c r="A223">
        <v>2621</v>
      </c>
      <c r="B223" s="3">
        <v>8.3677390248130103E-4</v>
      </c>
      <c r="C223" s="3">
        <f>B223*$K$4</f>
        <v>8.3677390248130103E-4</v>
      </c>
      <c r="D223" s="3">
        <f>(E222/$K$1)*$K$2*1</f>
        <v>3.1635734019924802E-5</v>
      </c>
      <c r="E223" s="3">
        <f t="shared" si="6"/>
        <v>4.7313761121341976E-3</v>
      </c>
      <c r="F223" s="3">
        <f>E223/$K$1</f>
        <v>5.8650999282684984E-4</v>
      </c>
      <c r="G223" s="5">
        <f t="shared" si="7"/>
        <v>101325.0040989721</v>
      </c>
    </row>
    <row r="224" spans="1:7" x14ac:dyDescent="0.25">
      <c r="A224">
        <v>2622</v>
      </c>
      <c r="B224" s="3">
        <v>9.1666666666668302E-4</v>
      </c>
      <c r="C224" s="3">
        <f>B224*$K$4</f>
        <v>9.1666666666668302E-4</v>
      </c>
      <c r="D224" s="3">
        <f>(E223/$K$1)*$K$2*1</f>
        <v>3.8123149533745243E-5</v>
      </c>
      <c r="E224" s="3">
        <f t="shared" si="6"/>
        <v>5.6099196292671355E-3</v>
      </c>
      <c r="F224" s="3">
        <f>E224/$K$1</f>
        <v>6.9541584594857259E-4</v>
      </c>
      <c r="G224" s="5">
        <f t="shared" si="7"/>
        <v>101325.0048577206</v>
      </c>
    </row>
    <row r="225" spans="1:7" x14ac:dyDescent="0.25">
      <c r="A225">
        <v>2623</v>
      </c>
      <c r="B225" s="3">
        <v>9.9655943085203195E-4</v>
      </c>
      <c r="C225" s="3">
        <f>B225*$K$4</f>
        <v>9.9655943085203195E-4</v>
      </c>
      <c r="D225" s="3">
        <f>(E224/$K$1)*$K$2*1</f>
        <v>4.5202029986657219E-5</v>
      </c>
      <c r="E225" s="3">
        <f t="shared" si="6"/>
        <v>6.5612770301325101E-3</v>
      </c>
      <c r="F225" s="3">
        <f>E225/$K$1</f>
        <v>8.1334784060152596E-4</v>
      </c>
      <c r="G225" s="5">
        <f t="shared" si="7"/>
        <v>101325.00568236619</v>
      </c>
    </row>
    <row r="226" spans="1:7" x14ac:dyDescent="0.25">
      <c r="A226">
        <v>2624</v>
      </c>
      <c r="B226" s="3">
        <v>1.0758441628613499E-3</v>
      </c>
      <c r="C226" s="3">
        <f>B226*$K$4</f>
        <v>1.0758441628613499E-3</v>
      </c>
      <c r="D226" s="3">
        <f>(E225/$K$1)*$K$2*1</f>
        <v>5.2867609639099186E-5</v>
      </c>
      <c r="E226" s="3">
        <f t="shared" si="6"/>
        <v>7.5842535833547603E-3</v>
      </c>
      <c r="F226" s="3">
        <f>E226/$K$1</f>
        <v>9.401578757102715E-4</v>
      </c>
      <c r="G226" s="5">
        <f t="shared" si="7"/>
        <v>101325.00657227618</v>
      </c>
    </row>
    <row r="227" spans="1:7" x14ac:dyDescent="0.25">
      <c r="A227">
        <v>2625</v>
      </c>
      <c r="B227" s="3">
        <v>1.15391745801064E-3</v>
      </c>
      <c r="C227" s="3">
        <f>B227*$K$4</f>
        <v>1.15391745801064E-3</v>
      </c>
      <c r="D227" s="3">
        <f>(E226/$K$1)*$K$2*1</f>
        <v>6.1110261921167646E-5</v>
      </c>
      <c r="E227" s="3">
        <f t="shared" si="6"/>
        <v>8.6770607794442317E-3</v>
      </c>
      <c r="F227" s="3">
        <f>E227/$K$1</f>
        <v>1.0756242443838145E-3</v>
      </c>
      <c r="G227" s="5">
        <f t="shared" si="7"/>
        <v>101325.00752622932</v>
      </c>
    </row>
    <row r="228" spans="1:7" x14ac:dyDescent="0.25">
      <c r="A228">
        <v>2626</v>
      </c>
      <c r="B228" s="3">
        <v>1.23018513138186E-3</v>
      </c>
      <c r="C228" s="3">
        <f>B228*$K$4</f>
        <v>1.23018513138186E-3</v>
      </c>
      <c r="D228" s="3">
        <f>(E227/$K$1)*$K$2*1</f>
        <v>6.9915575884947948E-5</v>
      </c>
      <c r="E228" s="3">
        <f t="shared" si="6"/>
        <v>9.8373303349411443E-3</v>
      </c>
      <c r="F228" s="3">
        <f>E228/$K$1</f>
        <v>1.2194533698947742E-3</v>
      </c>
      <c r="G228" s="5">
        <f t="shared" si="7"/>
        <v>101325.00854242947</v>
      </c>
    </row>
    <row r="229" spans="1:7" x14ac:dyDescent="0.25">
      <c r="A229">
        <v>2627</v>
      </c>
      <c r="B229" s="3">
        <v>1.3040667399289599E-3</v>
      </c>
      <c r="C229" s="3">
        <f>B229*$K$4</f>
        <v>1.3040667399289599E-3</v>
      </c>
      <c r="D229" s="3">
        <f>(E228/$K$1)*$K$2*1</f>
        <v>7.9264469043160328E-5</v>
      </c>
      <c r="E229" s="3">
        <f t="shared" si="6"/>
        <v>1.1062132605826943E-2</v>
      </c>
      <c r="F229" s="3">
        <f>E229/$K$1</f>
        <v>1.3712820882393632E-3</v>
      </c>
      <c r="G229" s="5">
        <f t="shared" si="7"/>
        <v>101325.00961852222</v>
      </c>
    </row>
    <row r="230" spans="1:7" x14ac:dyDescent="0.25">
      <c r="A230">
        <v>2628</v>
      </c>
      <c r="B230" s="3">
        <v>1.3749999999999899E-3</v>
      </c>
      <c r="C230" s="3">
        <f>B230*$K$4</f>
        <v>1.3749999999999899E-3</v>
      </c>
      <c r="D230" s="3">
        <f>(E229/$K$1)*$K$2*1</f>
        <v>8.9133335735558619E-5</v>
      </c>
      <c r="E230" s="3">
        <f t="shared" si="6"/>
        <v>1.2347999270091375E-2</v>
      </c>
      <c r="F230" s="3">
        <f>E230/$K$1</f>
        <v>1.5306804599096782E-3</v>
      </c>
      <c r="G230" s="5">
        <f t="shared" si="7"/>
        <v>101325.01075161503</v>
      </c>
    </row>
    <row r="231" spans="1:7" x14ac:dyDescent="0.25">
      <c r="A231">
        <v>2629</v>
      </c>
      <c r="B231" s="3">
        <v>1.4424450666551401E-3</v>
      </c>
      <c r="C231" s="3">
        <f>B231*$K$4</f>
        <v>1.4424450666551401E-3</v>
      </c>
      <c r="D231" s="3">
        <f>(E230/$K$1)*$K$2*1</f>
        <v>9.949422989412909E-5</v>
      </c>
      <c r="E231" s="3">
        <f t="shared" si="6"/>
        <v>1.3690950106852387E-2</v>
      </c>
      <c r="F231" s="3">
        <f>E231/$K$1</f>
        <v>1.6971550894821353E-3</v>
      </c>
      <c r="G231" s="5">
        <f t="shared" si="7"/>
        <v>101325.01193830078</v>
      </c>
    </row>
    <row r="232" spans="1:7" x14ac:dyDescent="0.25">
      <c r="A232">
        <v>2630</v>
      </c>
      <c r="B232" s="3">
        <v>1.5058886422126699E-3</v>
      </c>
      <c r="C232" s="3">
        <f>B232*$K$4</f>
        <v>1.5058886422126699E-3</v>
      </c>
      <c r="D232" s="3">
        <f>(E231/$K$1)*$K$2*1</f>
        <v>1.103150808163388E-4</v>
      </c>
      <c r="E232" s="3">
        <f t="shared" si="6"/>
        <v>1.5086523668248718E-2</v>
      </c>
      <c r="F232" s="3">
        <f>E232/$K$1</f>
        <v>1.8701529277610905E-3</v>
      </c>
      <c r="G232" s="5">
        <f t="shared" si="7"/>
        <v>101325.01317468504</v>
      </c>
    </row>
    <row r="233" spans="1:7" x14ac:dyDescent="0.25">
      <c r="A233">
        <v>2631</v>
      </c>
      <c r="B233" s="3">
        <v>1.56484788275434E-3</v>
      </c>
      <c r="C233" s="3">
        <f>B233*$K$4</f>
        <v>1.56484788275434E-3</v>
      </c>
      <c r="D233" s="3">
        <f>(E232/$K$1)*$K$2*1</f>
        <v>1.2155994030447089E-4</v>
      </c>
      <c r="E233" s="3">
        <f t="shared" si="6"/>
        <v>1.6529811610698587E-2</v>
      </c>
      <c r="F233" s="3">
        <f>E233/$K$1</f>
        <v>2.0490655275441413E-3</v>
      </c>
      <c r="G233" s="5">
        <f t="shared" si="7"/>
        <v>101325.01445641673</v>
      </c>
    </row>
    <row r="234" spans="1:7" x14ac:dyDescent="0.25">
      <c r="A234">
        <v>2632</v>
      </c>
      <c r="B234" s="3">
        <v>1.6188740728590599E-3</v>
      </c>
      <c r="C234" s="3">
        <f>B234*$K$4</f>
        <v>1.6188740728590599E-3</v>
      </c>
      <c r="D234" s="3">
        <f>(E233/$K$1)*$K$2*1</f>
        <v>1.3318925929036918E-4</v>
      </c>
      <c r="E234" s="3">
        <f t="shared" si="6"/>
        <v>1.8015496424267276E-2</v>
      </c>
      <c r="F234" s="3">
        <f>E234/$K$1</f>
        <v>2.2332337206231903E-3</v>
      </c>
      <c r="G234" s="5">
        <f t="shared" si="7"/>
        <v>101325.01577872236</v>
      </c>
    </row>
    <row r="235" spans="1:7" x14ac:dyDescent="0.25">
      <c r="A235">
        <v>2633</v>
      </c>
      <c r="B235" s="3">
        <v>1.66755604059824E-3</v>
      </c>
      <c r="C235" s="3">
        <f>B235*$K$4</f>
        <v>1.66755604059824E-3</v>
      </c>
      <c r="D235" s="3">
        <f>(E234/$K$1)*$K$2*1</f>
        <v>1.4516019184050737E-4</v>
      </c>
      <c r="E235" s="3">
        <f t="shared" si="6"/>
        <v>1.953789227302501E-2</v>
      </c>
      <c r="F235" s="3">
        <f>E235/$K$1</f>
        <v>2.4219526804295289E-3</v>
      </c>
      <c r="G235" s="5">
        <f t="shared" si="7"/>
        <v>101325.01713644338</v>
      </c>
    </row>
    <row r="236" spans="1:7" x14ac:dyDescent="0.25">
      <c r="A236">
        <v>2634</v>
      </c>
      <c r="B236" s="3">
        <v>1.71052328680239E-3</v>
      </c>
      <c r="C236" s="3">
        <f>B236*$K$4</f>
        <v>1.71052328680239E-3</v>
      </c>
      <c r="D236" s="3">
        <f>(E235/$K$1)*$K$2*1</f>
        <v>1.5742692422791938E-4</v>
      </c>
      <c r="E236" s="3">
        <f t="shared" si="6"/>
        <v>2.1090988635599481E-2</v>
      </c>
      <c r="F236" s="3">
        <f>E236/$K$1</f>
        <v>2.6144773317961422E-3</v>
      </c>
      <c r="G236" s="5">
        <f t="shared" si="7"/>
        <v>101325.0185240764</v>
      </c>
    </row>
    <row r="237" spans="1:7" x14ac:dyDescent="0.25">
      <c r="A237">
        <v>2635</v>
      </c>
      <c r="B237" s="3">
        <v>1.74744880478359E-3</v>
      </c>
      <c r="C237" s="3">
        <f>B237*$K$4</f>
        <v>1.74744880478359E-3</v>
      </c>
      <c r="D237" s="3">
        <f>(E236/$K$1)*$K$2*1</f>
        <v>1.6994102656674924E-4</v>
      </c>
      <c r="E237" s="3">
        <f t="shared" si="6"/>
        <v>2.2668496413816321E-2</v>
      </c>
      <c r="F237" s="3">
        <f>E237/$K$1</f>
        <v>2.8100280666686897E-3</v>
      </c>
      <c r="G237" s="5">
        <f t="shared" si="7"/>
        <v>101325.01993581626</v>
      </c>
    </row>
    <row r="238" spans="1:7" x14ac:dyDescent="0.25">
      <c r="A238">
        <v>2636</v>
      </c>
      <c r="B238" s="3">
        <v>1.77805156905374E-3</v>
      </c>
      <c r="C238" s="3">
        <f>B238*$K$4</f>
        <v>1.77805156905374E-3</v>
      </c>
      <c r="D238" s="3">
        <f>(E237/$K$1)*$K$2*1</f>
        <v>1.8265182433346483E-4</v>
      </c>
      <c r="E238" s="3">
        <f t="shared" si="6"/>
        <v>2.4263896158536597E-2</v>
      </c>
      <c r="F238" s="3">
        <f>E238/$K$1</f>
        <v>3.0077967222680796E-3</v>
      </c>
      <c r="G238" s="5">
        <f t="shared" si="7"/>
        <v>101325.02136560139</v>
      </c>
    </row>
    <row r="239" spans="1:7" x14ac:dyDescent="0.25">
      <c r="A239">
        <v>2637</v>
      </c>
      <c r="B239" s="3">
        <v>1.80209867409831E-3</v>
      </c>
      <c r="C239" s="3">
        <f>B239*$K$4</f>
        <v>1.80209867409831E-3</v>
      </c>
      <c r="D239" s="3">
        <f>(E238/$K$1)*$K$2*1</f>
        <v>1.9550678694742519E-4</v>
      </c>
      <c r="E239" s="3">
        <f t="shared" si="6"/>
        <v>2.5870488045687482E-2</v>
      </c>
      <c r="F239" s="3">
        <f>E239/$K$1</f>
        <v>3.206952776210175E-3</v>
      </c>
      <c r="G239" s="5">
        <f t="shared" si="7"/>
        <v>101325.02280716113</v>
      </c>
    </row>
    <row r="240" spans="1:7" x14ac:dyDescent="0.25">
      <c r="A240">
        <v>2638</v>
      </c>
      <c r="B240" s="3">
        <v>1.8194071069278499E-3</v>
      </c>
      <c r="C240" s="3">
        <f>B240*$K$4</f>
        <v>1.8194071069278499E-3</v>
      </c>
      <c r="D240" s="3">
        <f>(E239/$K$1)*$K$2*1</f>
        <v>2.0845193045366137E-4</v>
      </c>
      <c r="E240" s="3">
        <f t="shared" si="6"/>
        <v>2.7481443222161672E-2</v>
      </c>
      <c r="F240" s="3">
        <f>E240/$K$1</f>
        <v>3.4066497114369249E-3</v>
      </c>
      <c r="G240" s="5">
        <f t="shared" si="7"/>
        <v>101325.02425406486</v>
      </c>
    </row>
    <row r="241" spans="1:7" x14ac:dyDescent="0.25">
      <c r="A241">
        <v>2639</v>
      </c>
      <c r="B241" s="3">
        <v>1.8298451399174299E-3</v>
      </c>
      <c r="C241" s="3">
        <f>B241*$K$4</f>
        <v>1.8298451399174299E-3</v>
      </c>
      <c r="D241" s="3">
        <f>(E240/$K$1)*$K$2*1</f>
        <v>2.2143223124340014E-4</v>
      </c>
      <c r="E241" s="3">
        <f t="shared" si="6"/>
        <v>2.9089856130835701E-2</v>
      </c>
      <c r="F241" s="3">
        <f>E241/$K$1</f>
        <v>3.6060315025208504E-3</v>
      </c>
      <c r="G241" s="5">
        <f t="shared" si="7"/>
        <v>101325.02569977236</v>
      </c>
    </row>
    <row r="242" spans="1:7" x14ac:dyDescent="0.25">
      <c r="A242">
        <v>2640</v>
      </c>
      <c r="B242" s="3">
        <v>1.83333333333333E-3</v>
      </c>
      <c r="C242" s="3">
        <f>B242*$K$4</f>
        <v>1.83333333333333E-3</v>
      </c>
      <c r="D242" s="3">
        <f>(E241/$K$1)*$K$2*1</f>
        <v>2.343920476638553E-4</v>
      </c>
      <c r="E242" s="3">
        <f t="shared" si="6"/>
        <v>3.0688797416505174E-2</v>
      </c>
      <c r="F242" s="3">
        <f>E242/$K$1</f>
        <v>3.8042391739810553E-3</v>
      </c>
      <c r="G242" s="5">
        <f t="shared" si="7"/>
        <v>101325.02713768513</v>
      </c>
    </row>
    <row r="243" spans="1:7" x14ac:dyDescent="0.25">
      <c r="A243">
        <v>2641</v>
      </c>
      <c r="B243" s="3">
        <v>1.83013777229815E-3</v>
      </c>
      <c r="C243" s="3">
        <f>B243*$K$4</f>
        <v>1.83013777229815E-3</v>
      </c>
      <c r="D243" s="3">
        <f>(E242/$K$1)*$K$2*1</f>
        <v>2.472755463087686E-4</v>
      </c>
      <c r="E243" s="3">
        <f t="shared" si="6"/>
        <v>3.2271659642494559E-2</v>
      </c>
      <c r="F243" s="3">
        <f>E243/$K$1</f>
        <v>4.0004536559432946E-3</v>
      </c>
      <c r="G243" s="5">
        <f t="shared" si="7"/>
        <v>101325.02856149092</v>
      </c>
    </row>
    <row r="244" spans="1:7" x14ac:dyDescent="0.25">
      <c r="A244">
        <v>2642</v>
      </c>
      <c r="B244" s="3">
        <v>1.8205861004280499E-3</v>
      </c>
      <c r="C244" s="3">
        <f>B244*$K$4</f>
        <v>1.8205861004280499E-3</v>
      </c>
      <c r="D244" s="3">
        <f>(E243/$K$1)*$K$2*1</f>
        <v>2.6002948763631414E-4</v>
      </c>
      <c r="E244" s="3">
        <f t="shared" si="6"/>
        <v>3.383221625528629E-2</v>
      </c>
      <c r="F244" s="3">
        <f>E244/$K$1</f>
        <v>4.1939030935027009E-3</v>
      </c>
      <c r="G244" s="5">
        <f t="shared" si="7"/>
        <v>101325.029965222</v>
      </c>
    </row>
    <row r="245" spans="1:7" x14ac:dyDescent="0.25">
      <c r="A245">
        <v>2643</v>
      </c>
      <c r="B245" s="3">
        <v>1.8047829678388401E-3</v>
      </c>
      <c r="C245" s="3">
        <f>B245*$K$4</f>
        <v>1.8047829678388401E-3</v>
      </c>
      <c r="D245" s="3">
        <f>(E244/$K$1)*$K$2*1</f>
        <v>2.7260370107767557E-4</v>
      </c>
      <c r="E245" s="3">
        <f t="shared" si="6"/>
        <v>3.5364395522047454E-2</v>
      </c>
      <c r="F245" s="3">
        <f>E245/$K$1</f>
        <v>4.3838348236082125E-3</v>
      </c>
      <c r="G245" s="5">
        <f t="shared" si="7"/>
        <v>101325.03134302907</v>
      </c>
    </row>
    <row r="246" spans="1:7" x14ac:dyDescent="0.25">
      <c r="A246">
        <v>2644</v>
      </c>
      <c r="B246" s="3">
        <v>1.78290151695817E-3</v>
      </c>
      <c r="C246" s="3">
        <f>B246*$K$4</f>
        <v>1.78290151695817E-3</v>
      </c>
      <c r="D246" s="3">
        <f>(E245/$K$1)*$K$2*1</f>
        <v>2.8494926353453382E-4</v>
      </c>
      <c r="E246" s="3">
        <f t="shared" si="6"/>
        <v>3.6862347775471087E-2</v>
      </c>
      <c r="F246" s="3">
        <f>E246/$K$1</f>
        <v>4.5695237108554715E-3</v>
      </c>
      <c r="G246" s="5">
        <f t="shared" si="7"/>
        <v>101325.03268924879</v>
      </c>
    </row>
    <row r="247" spans="1:7" x14ac:dyDescent="0.25">
      <c r="A247">
        <v>2645</v>
      </c>
      <c r="B247" s="3">
        <v>1.75518148554091E-3</v>
      </c>
      <c r="C247" s="3">
        <f>B247*$K$4</f>
        <v>1.75518148554091E-3</v>
      </c>
      <c r="D247" s="3">
        <f>(E246/$K$1)*$K$2*1</f>
        <v>2.9701904120560564E-4</v>
      </c>
      <c r="E247" s="3">
        <f t="shared" si="6"/>
        <v>3.832051021980639E-2</v>
      </c>
      <c r="F247" s="3">
        <f>E247/$K$1</f>
        <v>4.7502801809602563E-3</v>
      </c>
      <c r="G247" s="5">
        <f t="shared" si="7"/>
        <v>101325.03399846908</v>
      </c>
    </row>
    <row r="248" spans="1:7" x14ac:dyDescent="0.25">
      <c r="A248">
        <v>2646</v>
      </c>
      <c r="B248" s="3">
        <v>1.72192658005204E-3</v>
      </c>
      <c r="C248" s="3">
        <f>B248*$K$4</f>
        <v>1.72192658005204E-3</v>
      </c>
      <c r="D248" s="3">
        <f>(E247/$K$1)*$K$2*1</f>
        <v>3.0876821176241669E-4</v>
      </c>
      <c r="E248" s="3">
        <f t="shared" si="6"/>
        <v>3.9733668588096016E-2</v>
      </c>
      <c r="F248" s="3">
        <f>E248/$K$1</f>
        <v>4.9254578639018245E-3</v>
      </c>
      <c r="G248" s="5">
        <f t="shared" si="7"/>
        <v>101325.03526559166</v>
      </c>
    </row>
    <row r="249" spans="1:7" x14ac:dyDescent="0.25">
      <c r="A249">
        <v>2647</v>
      </c>
      <c r="B249" s="3">
        <v>1.68350114819514E-3</v>
      </c>
      <c r="C249" s="3">
        <f>B249*$K$4</f>
        <v>1.68350114819514E-3</v>
      </c>
      <c r="D249" s="3">
        <f>(E248/$K$1)*$K$2*1</f>
        <v>3.2015476115361861E-4</v>
      </c>
      <c r="E249" s="3">
        <f t="shared" si="6"/>
        <v>4.1097014975137541E-2</v>
      </c>
      <c r="F249" s="3">
        <f>E249/$K$1</f>
        <v>5.0944607630020507E-3</v>
      </c>
      <c r="G249" s="5">
        <f t="shared" si="7"/>
        <v>101325.03648589106</v>
      </c>
    </row>
    <row r="250" spans="1:7" x14ac:dyDescent="0.25">
      <c r="A250">
        <v>2648</v>
      </c>
      <c r="B250" s="3">
        <v>1.6403261870426599E-3</v>
      </c>
      <c r="C250" s="3">
        <f>B250*$K$4</f>
        <v>1.6403261870426599E-3</v>
      </c>
      <c r="D250" s="3">
        <f>(E249/$K$1)*$K$2*1</f>
        <v>3.3113994959513331E-4</v>
      </c>
      <c r="E250" s="3">
        <f t="shared" si="6"/>
        <v>4.2406201212585065E-2</v>
      </c>
      <c r="F250" s="3">
        <f>E250/$K$1</f>
        <v>5.2567498714001567E-3</v>
      </c>
      <c r="G250" s="5">
        <f t="shared" si="7"/>
        <v>101325.03765506954</v>
      </c>
    </row>
    <row r="251" spans="1:7" x14ac:dyDescent="0.25">
      <c r="A251">
        <v>2649</v>
      </c>
      <c r="B251" s="3">
        <v>1.5928747305039401E-3</v>
      </c>
      <c r="C251" s="3">
        <f>B251*$K$4</f>
        <v>1.5928747305039401E-3</v>
      </c>
      <c r="D251" s="3">
        <f>(E250/$K$1)*$K$2*1</f>
        <v>3.416887416410102E-4</v>
      </c>
      <c r="E251" s="3">
        <f t="shared" si="6"/>
        <v>4.3657387201447996E-2</v>
      </c>
      <c r="F251" s="3">
        <f>E251/$K$1</f>
        <v>5.4118491634372124E-3</v>
      </c>
      <c r="G251" s="5">
        <f t="shared" si="7"/>
        <v>101325.0387693072</v>
      </c>
    </row>
    <row r="252" spans="1:7" x14ac:dyDescent="0.25">
      <c r="A252">
        <v>2650</v>
      </c>
      <c r="B252" s="3">
        <v>1.5416666666666699E-3</v>
      </c>
      <c r="C252" s="3">
        <f>B252*$K$4</f>
        <v>1.5416666666666699E-3</v>
      </c>
      <c r="D252" s="3">
        <f>(E251/$K$1)*$K$2*1</f>
        <v>3.5177019562341883E-4</v>
      </c>
      <c r="E252" s="3">
        <f t="shared" si="6"/>
        <v>4.4847283672491245E-2</v>
      </c>
      <c r="F252" s="3">
        <f>E252/$K$1</f>
        <v>5.559350895313158E-3</v>
      </c>
      <c r="G252" s="5">
        <f t="shared" si="7"/>
        <v>101325.03982530684</v>
      </c>
    </row>
    <row r="253" spans="1:7" x14ac:dyDescent="0.25">
      <c r="A253">
        <v>2651</v>
      </c>
      <c r="B253" s="3">
        <v>1.4872630417942199E-3</v>
      </c>
      <c r="C253" s="3">
        <f>B253*$K$4</f>
        <v>1.4872630417942199E-3</v>
      </c>
      <c r="D253" s="3">
        <f>(E252/$K$1)*$K$2*1</f>
        <v>3.6135780819535529E-4</v>
      </c>
      <c r="E253" s="3">
        <f t="shared" si="6"/>
        <v>4.5973188906090111E-2</v>
      </c>
      <c r="F253" s="3">
        <f>E253/$K$1</f>
        <v>5.6989201569468337E-3</v>
      </c>
      <c r="G253" s="5">
        <f t="shared" si="7"/>
        <v>101325.04082033299</v>
      </c>
    </row>
    <row r="254" spans="1:7" x14ac:dyDescent="0.25">
      <c r="A254">
        <v>2652</v>
      </c>
      <c r="B254" s="3">
        <v>1.4302599133853701E-3</v>
      </c>
      <c r="C254" s="3">
        <f>B254*$K$4</f>
        <v>1.4302599133853701E-3</v>
      </c>
      <c r="D254" s="3">
        <f>(E253/$K$1)*$K$2*1</f>
        <v>3.7042981020154423E-4</v>
      </c>
      <c r="E254" s="3">
        <f t="shared" si="6"/>
        <v>4.7033019009273938E-2</v>
      </c>
      <c r="F254" s="3">
        <f>E254/$K$1</f>
        <v>5.830298625173415E-3</v>
      </c>
      <c r="G254" s="5">
        <f t="shared" si="7"/>
        <v>101325.04175224472</v>
      </c>
    </row>
    <row r="255" spans="1:7" x14ac:dyDescent="0.25">
      <c r="A255">
        <v>2653</v>
      </c>
      <c r="B255" s="3">
        <v>1.37128181964368E-3</v>
      </c>
      <c r="C255" s="3">
        <f>B255*$K$4</f>
        <v>1.37128181964368E-3</v>
      </c>
      <c r="D255" s="3">
        <f>(E254/$K$1)*$K$2*1</f>
        <v>3.78969410636272E-4</v>
      </c>
      <c r="E255" s="3">
        <f t="shared" si="6"/>
        <v>4.8025331418281345E-2</v>
      </c>
      <c r="F255" s="3">
        <f>E255/$K$1</f>
        <v>5.9533074771639201E-3</v>
      </c>
      <c r="G255" s="5">
        <f t="shared" si="7"/>
        <v>101325.04261952192</v>
      </c>
    </row>
    <row r="256" spans="1:7" x14ac:dyDescent="0.25">
      <c r="A256">
        <v>2654</v>
      </c>
      <c r="B256" s="3">
        <v>1.3109749369061201E-3</v>
      </c>
      <c r="C256" s="3">
        <f>B256*$K$4</f>
        <v>1.3109749369061201E-3</v>
      </c>
      <c r="D256" s="3">
        <f>(E255/$K$1)*$K$2*1</f>
        <v>3.8696498601565482E-4</v>
      </c>
      <c r="E256" s="3">
        <f t="shared" si="6"/>
        <v>4.8949341369171812E-2</v>
      </c>
      <c r="F256" s="3">
        <f>E256/$K$1</f>
        <v>6.0678494321522013E-3</v>
      </c>
      <c r="G256" s="5">
        <f t="shared" si="7"/>
        <v>101325.04342128456</v>
      </c>
    </row>
    <row r="257" spans="1:7" x14ac:dyDescent="0.25">
      <c r="A257">
        <v>2655</v>
      </c>
      <c r="B257" s="3">
        <v>1.25E-3</v>
      </c>
      <c r="C257" s="3">
        <f>B257*$K$4</f>
        <v>1.25E-3</v>
      </c>
      <c r="D257" s="3">
        <f>(E256/$K$1)*$K$2*1</f>
        <v>3.944102130898931E-4</v>
      </c>
      <c r="E257" s="3">
        <f t="shared" si="6"/>
        <v>4.9804931156081922E-2</v>
      </c>
      <c r="F257" s="3">
        <f>E257/$K$1</f>
        <v>6.1739098991052338E-3</v>
      </c>
      <c r="G257" s="5">
        <f t="shared" si="7"/>
        <v>101325.04415730489</v>
      </c>
    </row>
    <row r="258" spans="1:7" x14ac:dyDescent="0.25">
      <c r="A258">
        <v>2656</v>
      </c>
      <c r="B258" s="3">
        <v>1.18902506309387E-3</v>
      </c>
      <c r="C258" s="3">
        <f>B258*$K$4</f>
        <v>1.18902506309387E-3</v>
      </c>
      <c r="D258" s="3">
        <f>(E257/$K$1)*$K$2*1</f>
        <v>4.0130414344184023E-4</v>
      </c>
      <c r="E258" s="3">
        <f t="shared" si="6"/>
        <v>5.0592652075733949E-2</v>
      </c>
      <c r="F258" s="3">
        <f>E258/$K$1</f>
        <v>6.271557217767937E-3</v>
      </c>
      <c r="G258" s="5">
        <f t="shared" si="7"/>
        <v>101325.04482801244</v>
      </c>
    </row>
    <row r="259" spans="1:7" x14ac:dyDescent="0.25">
      <c r="A259">
        <v>2657</v>
      </c>
      <c r="B259" s="3">
        <v>1.1287181803563101E-3</v>
      </c>
      <c r="C259" s="3">
        <f>B259*$K$4</f>
        <v>1.1287181803563101E-3</v>
      </c>
      <c r="D259" s="3">
        <f>(E258/$K$1)*$K$2*1</f>
        <v>4.0765121915491593E-4</v>
      </c>
      <c r="E259" s="3">
        <f t="shared" si="6"/>
        <v>5.1313719036935337E-2</v>
      </c>
      <c r="F259" s="3">
        <f>E259/$K$1</f>
        <v>6.3609419904469243E-3</v>
      </c>
      <c r="G259" s="5">
        <f t="shared" si="7"/>
        <v>101325.04543449158</v>
      </c>
    </row>
    <row r="260" spans="1:7" x14ac:dyDescent="0.25">
      <c r="A260">
        <v>2658</v>
      </c>
      <c r="B260" s="3">
        <v>1.06974008661462E-3</v>
      </c>
      <c r="C260" s="3">
        <f>B260*$K$4</f>
        <v>1.06974008661462E-3</v>
      </c>
      <c r="D260" s="3">
        <f>(E259/$K$1)*$K$2*1</f>
        <v>4.134612293790501E-4</v>
      </c>
      <c r="E260" s="3">
        <f t="shared" ref="E260:E323" si="8">E259+C260-D260</f>
        <v>5.1969997894170908E-2</v>
      </c>
      <c r="F260" s="3">
        <f>E260/$K$1</f>
        <v>6.4422955118595398E-3</v>
      </c>
      <c r="G260" s="5">
        <f t="shared" ref="G260:G323" si="9">G259+C260-$K$5*$K$9*SQRT(MAX(0,2*$K$6*(G259-$K$11)))</f>
        <v>101325.04597847178</v>
      </c>
    </row>
    <row r="261" spans="1:7" x14ac:dyDescent="0.25">
      <c r="A261">
        <v>2659</v>
      </c>
      <c r="B261" s="3">
        <v>1.0127369582057699E-3</v>
      </c>
      <c r="C261" s="3">
        <f>B261*$K$4</f>
        <v>1.0127369582057699E-3</v>
      </c>
      <c r="D261" s="3">
        <f>(E260/$K$1)*$K$2*1</f>
        <v>4.1874920827087011E-4</v>
      </c>
      <c r="E261" s="3">
        <f t="shared" si="8"/>
        <v>5.2563985644105811E-2</v>
      </c>
      <c r="F261" s="3">
        <f>E261/$K$1</f>
        <v>6.5159273142563296E-3</v>
      </c>
      <c r="G261" s="5">
        <f t="shared" si="9"/>
        <v>101325.04646231081</v>
      </c>
    </row>
    <row r="262" spans="1:7" x14ac:dyDescent="0.25">
      <c r="A262">
        <v>2660</v>
      </c>
      <c r="B262" s="3">
        <v>9.5833333333332504E-4</v>
      </c>
      <c r="C262" s="3">
        <f>B262*$K$4</f>
        <v>9.5833333333332504E-4</v>
      </c>
      <c r="D262" s="3">
        <f>(E261/$K$1)*$K$2*1</f>
        <v>4.2353527542666146E-4</v>
      </c>
      <c r="E262" s="3">
        <f t="shared" si="8"/>
        <v>5.3098783702012473E-2</v>
      </c>
      <c r="F262" s="3">
        <f>E262/$K$1</f>
        <v>6.5822218547182936E-3</v>
      </c>
      <c r="G262" s="5">
        <f t="shared" si="9"/>
        <v>101325.04688897065</v>
      </c>
    </row>
    <row r="263" spans="1:7" x14ac:dyDescent="0.25">
      <c r="A263">
        <v>2661</v>
      </c>
      <c r="B263" s="3">
        <v>9.0712526949605302E-4</v>
      </c>
      <c r="C263" s="3">
        <f>B263*$K$4</f>
        <v>9.0712526949605302E-4</v>
      </c>
      <c r="D263" s="3">
        <f>(E262/$K$1)*$K$2*1</f>
        <v>4.2784442055668912E-4</v>
      </c>
      <c r="E263" s="3">
        <f t="shared" si="8"/>
        <v>5.3578064550951834E-2</v>
      </c>
      <c r="F263" s="3">
        <f>E263/$K$1</f>
        <v>6.6416343809287013E-3</v>
      </c>
      <c r="G263" s="5">
        <f t="shared" si="9"/>
        <v>101325.04726198685</v>
      </c>
    </row>
    <row r="264" spans="1:7" x14ac:dyDescent="0.25">
      <c r="A264">
        <v>2662</v>
      </c>
      <c r="B264" s="3">
        <v>8.5967381295733105E-4</v>
      </c>
      <c r="C264" s="3">
        <f>B264*$K$4</f>
        <v>8.5967381295733105E-4</v>
      </c>
      <c r="D264" s="3">
        <f>(E263/$K$1)*$K$2*1</f>
        <v>4.3170623476036562E-4</v>
      </c>
      <c r="E264" s="3">
        <f t="shared" si="8"/>
        <v>5.4006032129148798E-2</v>
      </c>
      <c r="F264" s="3">
        <f>E264/$K$1</f>
        <v>6.6946860207200689E-3</v>
      </c>
      <c r="G264" s="5">
        <f t="shared" si="9"/>
        <v>101325.04758543131</v>
      </c>
    </row>
    <row r="265" spans="1:7" x14ac:dyDescent="0.25">
      <c r="A265">
        <v>2663</v>
      </c>
      <c r="B265" s="3">
        <v>8.16498851804854E-4</v>
      </c>
      <c r="C265" s="3">
        <f>B265*$K$4</f>
        <v>8.16498851804854E-4</v>
      </c>
      <c r="D265" s="3">
        <f>(E264/$K$1)*$K$2*1</f>
        <v>4.3515459134680452E-4</v>
      </c>
      <c r="E265" s="3">
        <f t="shared" si="8"/>
        <v>5.4387376389606848E-2</v>
      </c>
      <c r="F265" s="3">
        <f>E265/$K$1</f>
        <v>6.7419581492012947E-3</v>
      </c>
      <c r="G265" s="5">
        <f t="shared" si="9"/>
        <v>101325.04786386905</v>
      </c>
    </row>
    <row r="266" spans="1:7" x14ac:dyDescent="0.25">
      <c r="A266">
        <v>2664</v>
      </c>
      <c r="B266" s="3">
        <v>7.7807341994795001E-4</v>
      </c>
      <c r="C266" s="3">
        <f>B266*$K$4</f>
        <v>7.7807341994795001E-4</v>
      </c>
      <c r="D266" s="3">
        <f>(E265/$K$1)*$K$2*1</f>
        <v>4.3822727969808416E-4</v>
      </c>
      <c r="E266" s="3">
        <f t="shared" si="8"/>
        <v>5.4727222529856713E-2</v>
      </c>
      <c r="F266" s="3">
        <f>E266/$K$1</f>
        <v>6.7840860951849154E-3</v>
      </c>
      <c r="G266" s="5">
        <f t="shared" si="9"/>
        <v>101325.04810230946</v>
      </c>
    </row>
    <row r="267" spans="1:7" x14ac:dyDescent="0.25">
      <c r="A267">
        <v>2665</v>
      </c>
      <c r="B267" s="3">
        <v>7.4481851445908098E-4</v>
      </c>
      <c r="C267" s="3">
        <f>B267*$K$4</f>
        <v>7.4481851445908098E-4</v>
      </c>
      <c r="D267" s="3">
        <f>(E266/$K$1)*$K$2*1</f>
        <v>4.4096559618701954E-4</v>
      </c>
      <c r="E267" s="3">
        <f t="shared" si="8"/>
        <v>5.5031075448128776E-2</v>
      </c>
      <c r="F267" s="3">
        <f>E267/$K$1</f>
        <v>6.821752255873159E-3</v>
      </c>
      <c r="G267" s="5">
        <f t="shared" si="9"/>
        <v>101325.04830615252</v>
      </c>
    </row>
    <row r="268" spans="1:7" x14ac:dyDescent="0.25">
      <c r="A268">
        <v>2666</v>
      </c>
      <c r="B268" s="3">
        <v>7.1709848304182095E-4</v>
      </c>
      <c r="C268" s="3">
        <f>B268*$K$4</f>
        <v>7.1709848304182095E-4</v>
      </c>
      <c r="D268" s="3">
        <f>(E267/$K$1)*$K$2*1</f>
        <v>4.4341389663175537E-4</v>
      </c>
      <c r="E268" s="3">
        <f t="shared" si="8"/>
        <v>5.5304760034538838E-2</v>
      </c>
      <c r="F268" s="3">
        <f>E268/$K$1</f>
        <v>6.8556786952446809E-3</v>
      </c>
      <c r="G268" s="5">
        <f t="shared" si="9"/>
        <v>101325.04848113051</v>
      </c>
    </row>
    <row r="269" spans="1:7" x14ac:dyDescent="0.25">
      <c r="A269">
        <v>2667</v>
      </c>
      <c r="B269" s="3">
        <v>6.9521703216115702E-4</v>
      </c>
      <c r="C269" s="3">
        <f>B269*$K$4</f>
        <v>6.9521703216115702E-4</v>
      </c>
      <c r="D269" s="3">
        <f>(E268/$K$1)*$K$2*1</f>
        <v>4.4561911519090425E-4</v>
      </c>
      <c r="E269" s="3">
        <f t="shared" si="8"/>
        <v>5.5554357951509085E-2</v>
      </c>
      <c r="F269" s="3">
        <f>E269/$K$1</f>
        <v>6.8866193072404961E-3</v>
      </c>
      <c r="G269" s="5">
        <f t="shared" si="9"/>
        <v>101325.04863324609</v>
      </c>
    </row>
    <row r="270" spans="1:7" x14ac:dyDescent="0.25">
      <c r="A270">
        <v>2668</v>
      </c>
      <c r="B270" s="3">
        <v>6.7941389957194495E-4</v>
      </c>
      <c r="C270" s="3">
        <f>B270*$K$4</f>
        <v>6.7941389957194495E-4</v>
      </c>
      <c r="D270" s="3">
        <f>(E269/$K$1)*$K$2*1</f>
        <v>4.4763025497063225E-4</v>
      </c>
      <c r="E270" s="3">
        <f t="shared" si="8"/>
        <v>5.5786141596110395E-2</v>
      </c>
      <c r="F270" s="3">
        <f>E270/$K$1</f>
        <v>6.9153516296157668E-3</v>
      </c>
      <c r="G270" s="5">
        <f t="shared" si="9"/>
        <v>101325.04876870717</v>
      </c>
    </row>
    <row r="271" spans="1:7" x14ac:dyDescent="0.25">
      <c r="A271">
        <v>2669</v>
      </c>
      <c r="B271" s="3">
        <v>6.6986222770184004E-4</v>
      </c>
      <c r="C271" s="3">
        <f>B271*$K$4</f>
        <v>6.6986222770184004E-4</v>
      </c>
      <c r="D271" s="3">
        <f>(E270/$K$1)*$K$2*1</f>
        <v>4.4949785592502485E-4</v>
      </c>
      <c r="E271" s="3">
        <f t="shared" si="8"/>
        <v>5.6006505967887206E-2</v>
      </c>
      <c r="F271" s="3">
        <f>E271/$K$1</f>
        <v>6.9426683981513825E-3</v>
      </c>
      <c r="G271" s="5">
        <f t="shared" si="9"/>
        <v>101325.04889385957</v>
      </c>
    </row>
    <row r="272" spans="1:7" x14ac:dyDescent="0.25">
      <c r="A272">
        <v>2670</v>
      </c>
      <c r="B272" s="3">
        <v>6.6666666666666599E-4</v>
      </c>
      <c r="C272" s="3">
        <f>B272*$K$4</f>
        <v>6.6666666666666599E-4</v>
      </c>
      <c r="D272" s="3">
        <f>(E271/$K$1)*$K$2*1</f>
        <v>4.5127344587983986E-4</v>
      </c>
      <c r="E272" s="3">
        <f t="shared" si="8"/>
        <v>5.6221899188674027E-2</v>
      </c>
      <c r="F272" s="3">
        <f>E272/$K$1</f>
        <v>6.9693689337639794E-3</v>
      </c>
      <c r="G272" s="5">
        <f t="shared" si="9"/>
        <v>101325.0490151179</v>
      </c>
    </row>
    <row r="273" spans="1:7" x14ac:dyDescent="0.25">
      <c r="A273">
        <v>2671</v>
      </c>
      <c r="B273" s="3">
        <v>6.6745943789755298E-4</v>
      </c>
      <c r="C273" s="3">
        <f>B273*$K$4</f>
        <v>6.6745943789755298E-4</v>
      </c>
      <c r="D273" s="3">
        <f>(E272/$K$1)*$K$2*1</f>
        <v>4.530089806946587E-4</v>
      </c>
      <c r="E273" s="3">
        <f t="shared" si="8"/>
        <v>5.6436349645876918E-2</v>
      </c>
      <c r="F273" s="3">
        <f>E273/$K$1</f>
        <v>6.99595260268711E-3</v>
      </c>
      <c r="G273" s="5">
        <f t="shared" si="9"/>
        <v>101325.04913649311</v>
      </c>
    </row>
    <row r="274" spans="1:7" x14ac:dyDescent="0.25">
      <c r="A274">
        <v>2672</v>
      </c>
      <c r="B274" s="3">
        <v>6.69831718122456E-4</v>
      </c>
      <c r="C274" s="3">
        <f>B274*$K$4</f>
        <v>6.69831718122456E-4</v>
      </c>
      <c r="D274" s="3">
        <f>(E273/$K$1)*$K$2*1</f>
        <v>4.5473691917466218E-4</v>
      </c>
      <c r="E274" s="3">
        <f t="shared" si="8"/>
        <v>5.6651444444824707E-2</v>
      </c>
      <c r="F274" s="3">
        <f>E274/$K$1</f>
        <v>7.0226161453854847E-3</v>
      </c>
      <c r="G274" s="5">
        <f t="shared" si="9"/>
        <v>101325.0492595649</v>
      </c>
    </row>
    <row r="275" spans="1:7" x14ac:dyDescent="0.25">
      <c r="A275">
        <v>2673</v>
      </c>
      <c r="B275" s="3">
        <v>6.7376545285644299E-4</v>
      </c>
      <c r="C275" s="3">
        <f>B275*$K$4</f>
        <v>6.7376545285644299E-4</v>
      </c>
      <c r="D275" s="3">
        <f>(E274/$K$1)*$K$2*1</f>
        <v>4.5647004945005652E-4</v>
      </c>
      <c r="E275" s="3">
        <f t="shared" si="8"/>
        <v>5.6868739848231091E-2</v>
      </c>
      <c r="F275" s="3">
        <f>E275/$K$1</f>
        <v>7.0495524790171182E-3</v>
      </c>
      <c r="G275" s="5">
        <f t="shared" si="9"/>
        <v>101325.0493858861</v>
      </c>
    </row>
    <row r="276" spans="1:7" x14ac:dyDescent="0.25">
      <c r="A276">
        <v>2674</v>
      </c>
      <c r="B276" s="3">
        <v>6.7923070400293599E-4</v>
      </c>
      <c r="C276" s="3">
        <f>B276*$K$4</f>
        <v>6.7923070400293599E-4</v>
      </c>
      <c r="D276" s="3">
        <f>(E275/$K$1)*$K$2*1</f>
        <v>4.582209111361127E-4</v>
      </c>
      <c r="E276" s="3">
        <f t="shared" si="8"/>
        <v>5.7089749641097913E-2</v>
      </c>
      <c r="F276" s="3">
        <f>E276/$K$1</f>
        <v>7.0769492551255621E-3</v>
      </c>
      <c r="G276" s="5">
        <f t="shared" si="9"/>
        <v>101325.04951697109</v>
      </c>
    </row>
    <row r="277" spans="1:7" x14ac:dyDescent="0.25">
      <c r="A277">
        <v>2675</v>
      </c>
      <c r="B277" s="3">
        <v>6.86185877700698E-4</v>
      </c>
      <c r="C277" s="3">
        <f>B277*$K$4</f>
        <v>6.86185877700698E-4</v>
      </c>
      <c r="D277" s="3">
        <f>(E276/$K$1)*$K$2*1</f>
        <v>4.6000170158316155E-4</v>
      </c>
      <c r="E277" s="3">
        <f t="shared" si="8"/>
        <v>5.7315933817215448E-2</v>
      </c>
      <c r="F277" s="3">
        <f>E277/$K$1</f>
        <v>7.1049874571978986E-3</v>
      </c>
      <c r="G277" s="5">
        <f t="shared" si="9"/>
        <v>101325.04965428426</v>
      </c>
    </row>
    <row r="278" spans="1:7" x14ac:dyDescent="0.25">
      <c r="A278">
        <v>2676</v>
      </c>
      <c r="B278" s="3">
        <v>6.9457804087824204E-4</v>
      </c>
      <c r="C278" s="3">
        <f>B278*$K$4</f>
        <v>6.9457804087824204E-4</v>
      </c>
      <c r="D278" s="3">
        <f>(E277/$K$1)*$K$2*1</f>
        <v>4.618241847178634E-4</v>
      </c>
      <c r="E278" s="3">
        <f t="shared" si="8"/>
        <v>5.7548687673375822E-2</v>
      </c>
      <c r="F278" s="3">
        <f>E278/$K$1</f>
        <v>7.1338400487635824E-3</v>
      </c>
      <c r="G278" s="5">
        <f t="shared" si="9"/>
        <v>101325.04979922909</v>
      </c>
    </row>
    <row r="279" spans="1:7" x14ac:dyDescent="0.25">
      <c r="A279">
        <v>2677</v>
      </c>
      <c r="B279" s="3">
        <v>7.0434332410645995E-4</v>
      </c>
      <c r="C279" s="3">
        <f>B279*$K$4</f>
        <v>7.0434332410645995E-4</v>
      </c>
      <c r="D279" s="3">
        <f>(E278/$K$1)*$K$2*1</f>
        <v>4.6369960316963287E-4</v>
      </c>
      <c r="E279" s="3">
        <f t="shared" si="8"/>
        <v>5.7789331394312651E-2</v>
      </c>
      <c r="F279" s="3">
        <f>E279/$K$1</f>
        <v>7.1636706823246131E-3</v>
      </c>
      <c r="G279" s="5">
        <f t="shared" si="9"/>
        <v>101325.04995313758</v>
      </c>
    </row>
    <row r="280" spans="1:7" x14ac:dyDescent="0.25">
      <c r="A280">
        <v>2678</v>
      </c>
      <c r="B280" s="3">
        <v>7.1540740768354495E-4</v>
      </c>
      <c r="C280" s="3">
        <f>B280*$K$4</f>
        <v>7.1540740768354495E-4</v>
      </c>
      <c r="D280" s="3">
        <f>(E279/$K$1)*$K$2*1</f>
        <v>4.6563859435109985E-4</v>
      </c>
      <c r="E280" s="3">
        <f t="shared" si="8"/>
        <v>5.8039100207645099E-2</v>
      </c>
      <c r="F280" s="3">
        <f>E280/$K$1</f>
        <v>7.1946324789444772E-3</v>
      </c>
      <c r="G280" s="5">
        <f t="shared" si="9"/>
        <v>101325.05011726024</v>
      </c>
    </row>
    <row r="281" spans="1:7" x14ac:dyDescent="0.25">
      <c r="A281">
        <v>2679</v>
      </c>
      <c r="B281" s="3">
        <v>7.2768608725280097E-4</v>
      </c>
      <c r="C281" s="3">
        <f>B281*$K$4</f>
        <v>7.2768608725280097E-4</v>
      </c>
      <c r="D281" s="3">
        <f>(E280/$K$1)*$K$2*1</f>
        <v>4.6765111113139106E-4</v>
      </c>
      <c r="E281" s="3">
        <f t="shared" si="8"/>
        <v>5.8299135183766511E-2</v>
      </c>
      <c r="F281" s="3">
        <f>E281/$K$1</f>
        <v>7.2268668877856091E-3</v>
      </c>
      <c r="G281" s="5">
        <f t="shared" si="9"/>
        <v>101325.05029275667</v>
      </c>
    </row>
    <row r="282" spans="1:7" x14ac:dyDescent="0.25">
      <c r="A282">
        <v>2680</v>
      </c>
      <c r="B282" s="3">
        <v>7.4108591464863499E-4</v>
      </c>
      <c r="C282" s="3">
        <f>B282*$K$4</f>
        <v>7.4108591464863499E-4</v>
      </c>
      <c r="D282" s="3">
        <f>(E281/$K$1)*$K$2*1</f>
        <v>4.6974634770606462E-4</v>
      </c>
      <c r="E282" s="3">
        <f t="shared" si="8"/>
        <v>5.8570474750709083E-2</v>
      </c>
      <c r="F282" s="3">
        <f>E282/$K$1</f>
        <v>7.260502634276569E-3</v>
      </c>
      <c r="G282" s="5">
        <f t="shared" si="9"/>
        <v>101325.05048068697</v>
      </c>
    </row>
    <row r="283" spans="1:7" x14ac:dyDescent="0.25">
      <c r="A283">
        <v>2681</v>
      </c>
      <c r="B283" s="3">
        <v>7.5550490909352805E-4</v>
      </c>
      <c r="C283" s="3">
        <f>B283*$K$4</f>
        <v>7.5550490909352805E-4</v>
      </c>
      <c r="D283" s="3">
        <f>(E282/$K$1)*$K$2*1</f>
        <v>4.71932671227977E-4</v>
      </c>
      <c r="E283" s="3">
        <f t="shared" si="8"/>
        <v>5.8854046988574632E-2</v>
      </c>
      <c r="F283" s="3">
        <f>E283/$K$1</f>
        <v>7.2956547649156598E-3</v>
      </c>
      <c r="G283" s="5">
        <f t="shared" si="9"/>
        <v>101325.05068200374</v>
      </c>
    </row>
    <row r="284" spans="1:7" x14ac:dyDescent="0.25">
      <c r="A284">
        <v>2682</v>
      </c>
      <c r="B284" s="3">
        <v>7.7083333333333496E-4</v>
      </c>
      <c r="C284" s="3">
        <f>B284*$K$4</f>
        <v>7.7083333333333496E-4</v>
      </c>
      <c r="D284" s="3">
        <f>(E283/$K$1)*$K$2*1</f>
        <v>4.7421755971951789E-4</v>
      </c>
      <c r="E284" s="3">
        <f t="shared" si="8"/>
        <v>5.9150662762188444E-2</v>
      </c>
      <c r="F284" s="3">
        <f>E284/$K$1</f>
        <v>7.332423795982204E-3</v>
      </c>
      <c r="G284" s="5">
        <f t="shared" si="9"/>
        <v>101325.05089754498</v>
      </c>
    </row>
    <row r="285" spans="1:7" x14ac:dyDescent="0.25">
      <c r="A285">
        <v>2683</v>
      </c>
      <c r="B285" s="3">
        <v>7.8695452880402203E-4</v>
      </c>
      <c r="C285" s="3">
        <f>B285*$K$4</f>
        <v>7.8695452880402203E-4</v>
      </c>
      <c r="D285" s="3">
        <f>(E284/$K$1)*$K$2*1</f>
        <v>4.7660754673884326E-4</v>
      </c>
      <c r="E285" s="3">
        <f t="shared" si="8"/>
        <v>5.9461009744253619E-2</v>
      </c>
      <c r="F285" s="3">
        <f>E285/$K$1</f>
        <v>7.3708949726358766E-3</v>
      </c>
      <c r="G285" s="5">
        <f t="shared" si="9"/>
        <v>101325.05112802787</v>
      </c>
    </row>
    <row r="286" spans="1:7" x14ac:dyDescent="0.25">
      <c r="A286">
        <v>2684</v>
      </c>
      <c r="B286" s="3">
        <v>8.0374580347381897E-4</v>
      </c>
      <c r="C286" s="3">
        <f>B286*$K$4</f>
        <v>8.0374580347381897E-4</v>
      </c>
      <c r="D286" s="3">
        <f>(E285/$K$1)*$K$2*1</f>
        <v>4.7910817322133198E-4</v>
      </c>
      <c r="E286" s="3">
        <f t="shared" si="8"/>
        <v>5.9785647374506104E-2</v>
      </c>
      <c r="F286" s="3">
        <f>E286/$K$1</f>
        <v>7.4111376440443907E-3</v>
      </c>
      <c r="G286" s="5">
        <f t="shared" si="9"/>
        <v>101325.05137404353</v>
      </c>
    </row>
    <row r="287" spans="1:7" x14ac:dyDescent="0.25">
      <c r="A287">
        <v>2685</v>
      </c>
      <c r="B287" s="3">
        <v>8.2107936560364095E-4</v>
      </c>
      <c r="C287" s="3">
        <f>B287*$K$4</f>
        <v>8.2107936560364095E-4</v>
      </c>
      <c r="D287" s="3">
        <f>(E286/$K$1)*$K$2*1</f>
        <v>4.8172394686288539E-4</v>
      </c>
      <c r="E287" s="3">
        <f t="shared" si="8"/>
        <v>6.0125002793246861E-2</v>
      </c>
      <c r="F287" s="3">
        <f>E287/$K$1</f>
        <v>7.4532047592967476E-3</v>
      </c>
      <c r="G287" s="5">
        <f t="shared" si="9"/>
        <v>101325.05163605252</v>
      </c>
    </row>
    <row r="288" spans="1:7" x14ac:dyDescent="0.25">
      <c r="A288">
        <v>2686</v>
      </c>
      <c r="B288" s="3">
        <v>8.3882329631938704E-4</v>
      </c>
      <c r="C288" s="3">
        <f>B288*$K$4</f>
        <v>8.3882329631938704E-4</v>
      </c>
      <c r="D288" s="3">
        <f>(E287/$K$1)*$K$2*1</f>
        <v>4.8445830935428861E-4</v>
      </c>
      <c r="E288" s="3">
        <f t="shared" si="8"/>
        <v>6.0479367780211964E-2</v>
      </c>
      <c r="F288" s="3">
        <f>E288/$K$1</f>
        <v>7.4971324879399975E-3</v>
      </c>
      <c r="G288" s="5">
        <f t="shared" si="9"/>
        <v>101325.05191438162</v>
      </c>
    </row>
    <row r="289" spans="1:7" x14ac:dyDescent="0.25">
      <c r="A289">
        <v>2687</v>
      </c>
      <c r="B289" s="3">
        <v>8.5684255359423504E-4</v>
      </c>
      <c r="C289" s="3">
        <f>B289*$K$4</f>
        <v>8.5684255359423504E-4</v>
      </c>
      <c r="D289" s="3">
        <f>(E288/$K$1)*$K$2*1</f>
        <v>4.8731361171609988E-4</v>
      </c>
      <c r="E289" s="3">
        <f t="shared" si="8"/>
        <v>6.0848896722090103E-2</v>
      </c>
      <c r="F289" s="3">
        <f>E289/$K$1</f>
        <v>7.54293996802902E-3</v>
      </c>
      <c r="G289" s="5">
        <f t="shared" si="9"/>
        <v>101325.05220922142</v>
      </c>
    </row>
    <row r="290" spans="1:7" x14ac:dyDescent="0.25">
      <c r="A290">
        <v>2688</v>
      </c>
      <c r="B290" s="3">
        <v>8.7499999999999601E-4</v>
      </c>
      <c r="C290" s="3">
        <f>B290*$K$4</f>
        <v>8.7499999999999601E-4</v>
      </c>
      <c r="D290" s="3">
        <f>(E289/$K$1)*$K$2*1</f>
        <v>4.9029109792188632E-4</v>
      </c>
      <c r="E290" s="3">
        <f t="shared" si="8"/>
        <v>6.1233605624168207E-2</v>
      </c>
      <c r="F290" s="3">
        <f>E290/$K$1</f>
        <v>7.5906291836083063E-3</v>
      </c>
      <c r="G290" s="5">
        <f t="shared" si="9"/>
        <v>101325.05252062502</v>
      </c>
    </row>
    <row r="291" spans="1:7" x14ac:dyDescent="0.25">
      <c r="A291">
        <v>2689</v>
      </c>
      <c r="B291" s="3">
        <v>8.9315744640576403E-4</v>
      </c>
      <c r="C291" s="3">
        <f>B291*$K$4</f>
        <v>8.9315744640576403E-4</v>
      </c>
      <c r="D291" s="3">
        <f>(E290/$K$1)*$K$2*1</f>
        <v>4.933908969345399E-4</v>
      </c>
      <c r="E291" s="3">
        <f t="shared" si="8"/>
        <v>6.1633372173639435E-2</v>
      </c>
      <c r="F291" s="3">
        <f>E291/$K$1</f>
        <v>7.6401849725597415E-3</v>
      </c>
      <c r="G291" s="5">
        <f t="shared" si="9"/>
        <v>101325.05284850777</v>
      </c>
    </row>
    <row r="292" spans="1:7" x14ac:dyDescent="0.25">
      <c r="A292">
        <v>2690</v>
      </c>
      <c r="B292" s="3">
        <v>9.1117670368061202E-4</v>
      </c>
      <c r="C292" s="3">
        <f>B292*$K$4</f>
        <v>9.1117670368061202E-4</v>
      </c>
      <c r="D292" s="3">
        <f>(E291/$K$1)*$K$2*1</f>
        <v>4.9661202321638325E-4</v>
      </c>
      <c r="E292" s="3">
        <f t="shared" si="8"/>
        <v>6.2047936854103661E-2</v>
      </c>
      <c r="F292" s="3">
        <f>E292/$K$1</f>
        <v>7.6915751647581082E-3</v>
      </c>
      <c r="G292" s="5">
        <f t="shared" si="9"/>
        <v>101325.05319264803</v>
      </c>
    </row>
    <row r="293" spans="1:7" x14ac:dyDescent="0.25">
      <c r="A293">
        <v>2691</v>
      </c>
      <c r="B293" s="3">
        <v>9.2892063439635898E-4</v>
      </c>
      <c r="C293" s="3">
        <f>B293*$K$4</f>
        <v>9.2892063439635898E-4</v>
      </c>
      <c r="D293" s="3">
        <f>(E292/$K$1)*$K$2*1</f>
        <v>4.9995238570927703E-4</v>
      </c>
      <c r="E293" s="3">
        <f t="shared" si="8"/>
        <v>6.247690510279074E-2</v>
      </c>
      <c r="F293" s="3">
        <f>E293/$K$1</f>
        <v>7.7447508494844107E-3</v>
      </c>
      <c r="G293" s="5">
        <f t="shared" si="9"/>
        <v>101325.053552689</v>
      </c>
    </row>
    <row r="294" spans="1:7" x14ac:dyDescent="0.25">
      <c r="A294">
        <v>2692</v>
      </c>
      <c r="B294" s="3">
        <v>9.4625419652617998E-4</v>
      </c>
      <c r="C294" s="3">
        <f>B294*$K$4</f>
        <v>9.4625419652617998E-4</v>
      </c>
      <c r="D294" s="3">
        <f>(E293/$K$1)*$K$2*1</f>
        <v>5.034088052164867E-4</v>
      </c>
      <c r="E294" s="3">
        <f t="shared" si="8"/>
        <v>6.2919750494100438E-2</v>
      </c>
      <c r="F294" s="3">
        <f>E294/$K$1</f>
        <v>7.7996467700632748E-3</v>
      </c>
      <c r="G294" s="5">
        <f t="shared" si="9"/>
        <v>101325.05392814151</v>
      </c>
    </row>
    <row r="295" spans="1:7" x14ac:dyDescent="0.25">
      <c r="A295">
        <v>2693</v>
      </c>
      <c r="B295" s="3">
        <v>9.6304547119597703E-4</v>
      </c>
      <c r="C295" s="3">
        <f>B295*$K$4</f>
        <v>9.6304547119597703E-4</v>
      </c>
      <c r="D295" s="3">
        <f>(E294/$K$1)*$K$2*1</f>
        <v>5.0697704005411284E-4</v>
      </c>
      <c r="E295" s="3">
        <f t="shared" si="8"/>
        <v>6.33758189252423E-2</v>
      </c>
      <c r="F295" s="3">
        <f>E295/$K$1</f>
        <v>7.8561818427224858E-3</v>
      </c>
      <c r="G295" s="5">
        <f t="shared" si="9"/>
        <v>101325.05431838788</v>
      </c>
    </row>
    <row r="296" spans="1:7" x14ac:dyDescent="0.25">
      <c r="A296">
        <v>2694</v>
      </c>
      <c r="B296" s="3">
        <v>9.7916666666666399E-4</v>
      </c>
      <c r="C296" s="3">
        <f>B296*$K$4</f>
        <v>9.7916666666666399E-4</v>
      </c>
      <c r="D296" s="3">
        <f>(E295/$K$1)*$K$2*1</f>
        <v>5.1065181977696158E-4</v>
      </c>
      <c r="E296" s="3">
        <f t="shared" si="8"/>
        <v>6.3844333772132014E-2</v>
      </c>
      <c r="F296" s="3">
        <f>E296/$K$1</f>
        <v>7.914259795727286E-3</v>
      </c>
      <c r="G296" s="5">
        <f t="shared" si="9"/>
        <v>101325.05472268668</v>
      </c>
    </row>
    <row r="297" spans="1:7" x14ac:dyDescent="0.25">
      <c r="A297">
        <v>2695</v>
      </c>
      <c r="B297" s="3">
        <v>9.9449509090646397E-4</v>
      </c>
      <c r="C297" s="3">
        <f>B297*$K$4</f>
        <v>9.9449509090646397E-4</v>
      </c>
      <c r="D297" s="3">
        <f>(E296/$K$1)*$K$2*1</f>
        <v>5.1442688672227363E-4</v>
      </c>
      <c r="E297" s="3">
        <f t="shared" si="8"/>
        <v>6.4324401976316198E-2</v>
      </c>
      <c r="F297" s="3">
        <f>E297/$K$1</f>
        <v>7.9737699239266387E-3</v>
      </c>
      <c r="G297" s="5">
        <f t="shared" si="9"/>
        <v>101325.05514017845</v>
      </c>
    </row>
    <row r="298" spans="1:7" x14ac:dyDescent="0.25">
      <c r="A298">
        <v>2696</v>
      </c>
      <c r="B298" s="3">
        <v>1.00891408535135E-3</v>
      </c>
      <c r="C298" s="3">
        <f>B298*$K$4</f>
        <v>1.00891408535135E-3</v>
      </c>
      <c r="D298" s="3">
        <f>(E297/$K$1)*$K$2*1</f>
        <v>5.1829504505523157E-4</v>
      </c>
      <c r="E298" s="3">
        <f t="shared" si="8"/>
        <v>6.4815021016612323E-2</v>
      </c>
      <c r="F298" s="3">
        <f>E298/$K$1</f>
        <v>8.0345879529704137E-3</v>
      </c>
      <c r="G298" s="5">
        <f t="shared" si="9"/>
        <v>101325.05556989236</v>
      </c>
    </row>
    <row r="299" spans="1:7" x14ac:dyDescent="0.25">
      <c r="A299">
        <v>2697</v>
      </c>
      <c r="B299" s="3">
        <v>1.0223139127471901E-3</v>
      </c>
      <c r="C299" s="3">
        <f>B299*$K$4</f>
        <v>1.0223139127471901E-3</v>
      </c>
      <c r="D299" s="3">
        <f>(E298/$K$1)*$K$2*1</f>
        <v>5.222482169430769E-4</v>
      </c>
      <c r="E299" s="3">
        <f t="shared" si="8"/>
        <v>6.531508671241644E-2</v>
      </c>
      <c r="F299" s="3">
        <f>E299/$K$1</f>
        <v>8.0965770066215997E-3</v>
      </c>
      <c r="G299" s="5">
        <f t="shared" si="9"/>
        <v>101325.05601075359</v>
      </c>
    </row>
    <row r="300" spans="1:7" x14ac:dyDescent="0.25">
      <c r="A300">
        <v>2698</v>
      </c>
      <c r="B300" s="3">
        <v>1.03459259231645E-3</v>
      </c>
      <c r="C300" s="3">
        <f>B300*$K$4</f>
        <v>1.03459259231645E-3</v>
      </c>
      <c r="D300" s="3">
        <f>(E299/$K$1)*$K$2*1</f>
        <v>5.2627750543040403E-4</v>
      </c>
      <c r="E300" s="3">
        <f t="shared" si="8"/>
        <v>6.5823401799302489E-2</v>
      </c>
      <c r="F300" s="3">
        <f>E300/$K$1</f>
        <v>8.1595886698032083E-3</v>
      </c>
      <c r="G300" s="5">
        <f t="shared" si="9"/>
        <v>101325.05646159159</v>
      </c>
    </row>
    <row r="301" spans="1:7" x14ac:dyDescent="0.25">
      <c r="A301">
        <v>2699</v>
      </c>
      <c r="B301" s="3">
        <v>1.04565667589353E-3</v>
      </c>
      <c r="C301" s="3">
        <f>B301*$K$4</f>
        <v>1.04565667589353E-3</v>
      </c>
      <c r="D301" s="3">
        <f>(E300/$K$1)*$K$2*1</f>
        <v>5.3037326353720855E-4</v>
      </c>
      <c r="E301" s="3">
        <f t="shared" si="8"/>
        <v>6.633868521165881E-2</v>
      </c>
      <c r="F301" s="3">
        <f>E301/$K$1</f>
        <v>8.2234641392907905E-3</v>
      </c>
      <c r="G301" s="5">
        <f t="shared" si="9"/>
        <v>101325.05692114904</v>
      </c>
    </row>
    <row r="302" spans="1:7" x14ac:dyDescent="0.25">
      <c r="A302">
        <v>2700</v>
      </c>
      <c r="B302" s="3">
        <v>1.0554219591217501E-3</v>
      </c>
      <c r="C302" s="3">
        <f>B302*$K$4</f>
        <v>1.0554219591217501E-3</v>
      </c>
      <c r="D302" s="3">
        <f>(E301/$K$1)*$K$2*1</f>
        <v>5.3452516905390141E-4</v>
      </c>
      <c r="E302" s="3">
        <f t="shared" si="8"/>
        <v>6.6859582001726661E-2</v>
      </c>
      <c r="F302" s="3">
        <f>E302/$K$1</f>
        <v>8.2880354532944914E-3</v>
      </c>
      <c r="G302" s="5">
        <f t="shared" si="9"/>
        <v>101325.05738809137</v>
      </c>
    </row>
    <row r="303" spans="1:7" x14ac:dyDescent="0.25">
      <c r="A303">
        <v>2701</v>
      </c>
      <c r="B303" s="3">
        <v>1.0638141222993E-3</v>
      </c>
      <c r="C303" s="3">
        <f>B303*$K$4</f>
        <v>1.0638141222993E-3</v>
      </c>
      <c r="D303" s="3">
        <f>(E302/$K$1)*$K$2*1</f>
        <v>5.3872230446414199E-4</v>
      </c>
      <c r="E303" s="3">
        <f t="shared" si="8"/>
        <v>6.7384673819561827E-2</v>
      </c>
      <c r="F303" s="3">
        <f>E303/$K$1</f>
        <v>8.3531267905741693E-3</v>
      </c>
      <c r="G303" s="5">
        <f t="shared" si="9"/>
        <v>101325.05786101706</v>
      </c>
    </row>
    <row r="304" spans="1:7" x14ac:dyDescent="0.25">
      <c r="A304">
        <v>2702</v>
      </c>
      <c r="B304" s="3">
        <v>1.07076929599706E-3</v>
      </c>
      <c r="C304" s="3">
        <f>B304*$K$4</f>
        <v>1.07076929599706E-3</v>
      </c>
      <c r="D304" s="3">
        <f>(E303/$K$1)*$K$2*1</f>
        <v>5.4295324138732104E-4</v>
      </c>
      <c r="E304" s="3">
        <f t="shared" si="8"/>
        <v>6.7912489874171561E-2</v>
      </c>
      <c r="F304" s="3">
        <f>E304/$K$1</f>
        <v>8.4185558292018785E-3</v>
      </c>
      <c r="G304" s="5">
        <f t="shared" si="9"/>
        <v>101325.05833846821</v>
      </c>
    </row>
    <row r="305" spans="1:7" x14ac:dyDescent="0.25">
      <c r="A305">
        <v>2703</v>
      </c>
      <c r="B305" s="3">
        <v>1.07623454714355E-3</v>
      </c>
      <c r="C305" s="3">
        <f>B305*$K$4</f>
        <v>1.07623454714355E-3</v>
      </c>
      <c r="D305" s="3">
        <f>(E304/$K$1)*$K$2*1</f>
        <v>5.4720612889812216E-4</v>
      </c>
      <c r="E305" s="3">
        <f t="shared" si="8"/>
        <v>6.8441518292416986E-2</v>
      </c>
      <c r="F305" s="3">
        <f>E305/$K$1</f>
        <v>8.48413515463208E-3</v>
      </c>
      <c r="G305" s="5">
        <f t="shared" si="9"/>
        <v>101325.0588189417</v>
      </c>
    </row>
    <row r="306" spans="1:7" x14ac:dyDescent="0.25">
      <c r="A306">
        <v>2704</v>
      </c>
      <c r="B306" s="3">
        <v>1.08016828187754E-3</v>
      </c>
      <c r="C306" s="3">
        <f>B306*$K$4</f>
        <v>1.08016828187754E-3</v>
      </c>
      <c r="D306" s="3">
        <f>(E305/$K$1)*$K$2*1</f>
        <v>5.5146878505108517E-4</v>
      </c>
      <c r="E306" s="3">
        <f t="shared" si="8"/>
        <v>6.8970217789243449E-2</v>
      </c>
      <c r="F306" s="3">
        <f>E306/$K$1</f>
        <v>8.5496737063646272E-3</v>
      </c>
      <c r="G306" s="5">
        <f t="shared" si="9"/>
        <v>101325.05930090063</v>
      </c>
    </row>
    <row r="307" spans="1:7" x14ac:dyDescent="0.25">
      <c r="A307">
        <v>2705</v>
      </c>
      <c r="B307" s="3">
        <v>1.08254056210244E-3</v>
      </c>
      <c r="C307" s="3">
        <f>B307*$K$4</f>
        <v>1.08254056210244E-3</v>
      </c>
      <c r="D307" s="3">
        <f>(E306/$K$1)*$K$2*1</f>
        <v>5.5572879091370076E-4</v>
      </c>
      <c r="E307" s="3">
        <f t="shared" si="8"/>
        <v>6.9497029560432189E-2</v>
      </c>
      <c r="F307" s="3">
        <f>E307/$K$1</f>
        <v>8.6149782521919155E-3</v>
      </c>
      <c r="G307" s="5">
        <f t="shared" si="9"/>
        <v>101325.05978278597</v>
      </c>
    </row>
    <row r="308" spans="1:7" x14ac:dyDescent="0.25">
      <c r="A308">
        <v>2706</v>
      </c>
      <c r="B308" s="3">
        <v>1.08333333333333E-3</v>
      </c>
      <c r="C308" s="3">
        <f>B308*$K$4</f>
        <v>1.08333333333333E-3</v>
      </c>
      <c r="D308" s="3">
        <f>(E307/$K$1)*$K$2*1</f>
        <v>5.5997358639247458E-4</v>
      </c>
      <c r="E308" s="3">
        <f t="shared" si="8"/>
        <v>7.0020389307373032E-2</v>
      </c>
      <c r="F308" s="3">
        <f>E308/$K$1</f>
        <v>8.6798548788115815E-3</v>
      </c>
      <c r="G308" s="5">
        <f t="shared" si="9"/>
        <v>101325.06026302854</v>
      </c>
    </row>
    <row r="309" spans="1:7" x14ac:dyDescent="0.25">
      <c r="A309">
        <v>2707</v>
      </c>
      <c r="B309" s="3">
        <v>1.08271980872412E-3</v>
      </c>
      <c r="C309" s="3">
        <f>B309*$K$4</f>
        <v>1.08271980872412E-3</v>
      </c>
      <c r="D309" s="3">
        <f>(E308/$K$1)*$K$2*1</f>
        <v>5.6419056712275284E-4</v>
      </c>
      <c r="E309" s="3">
        <f t="shared" si="8"/>
        <v>7.05389185489744E-2</v>
      </c>
      <c r="F309" s="3">
        <f>E309/$K$1</f>
        <v>8.7441327071990076E-3</v>
      </c>
      <c r="G309" s="5">
        <f t="shared" si="9"/>
        <v>101325.06074024008</v>
      </c>
    </row>
    <row r="310" spans="1:7" x14ac:dyDescent="0.25">
      <c r="A310">
        <v>2708</v>
      </c>
      <c r="B310" s="3">
        <v>1.08088062472708E-3</v>
      </c>
      <c r="C310" s="3">
        <f>B310*$K$4</f>
        <v>1.08088062472708E-3</v>
      </c>
      <c r="D310" s="3">
        <f>(E309/$K$1)*$K$2*1</f>
        <v>5.6836862596793556E-4</v>
      </c>
      <c r="E310" s="3">
        <f t="shared" si="8"/>
        <v>7.1051430547733552E-2</v>
      </c>
      <c r="F310" s="3">
        <f>E310/$K$1</f>
        <v>8.8076646272137789E-3</v>
      </c>
      <c r="G310" s="5">
        <f t="shared" si="9"/>
        <v>101325.06121321971</v>
      </c>
    </row>
    <row r="311" spans="1:7" x14ac:dyDescent="0.25">
      <c r="A311">
        <v>2709</v>
      </c>
      <c r="B311" s="3">
        <v>1.0778199476855E-3</v>
      </c>
      <c r="C311" s="3">
        <f>B311*$K$4</f>
        <v>1.0778199476855E-3</v>
      </c>
      <c r="D311" s="3">
        <f>(E310/$K$1)*$K$2*1</f>
        <v>5.724982007688956E-4</v>
      </c>
      <c r="E311" s="3">
        <f t="shared" si="8"/>
        <v>7.1556752294650153E-2</v>
      </c>
      <c r="F311" s="3">
        <f>E311/$K$1</f>
        <v>8.8703052305256162E-3</v>
      </c>
      <c r="G311" s="5">
        <f t="shared" si="9"/>
        <v>101325.06168077642</v>
      </c>
    </row>
    <row r="312" spans="1:7" x14ac:dyDescent="0.25">
      <c r="A312">
        <v>2710</v>
      </c>
      <c r="B312" s="3">
        <v>1.0735447110173E-3</v>
      </c>
      <c r="C312" s="3">
        <f>B312*$K$4</f>
        <v>1.0735447110173E-3</v>
      </c>
      <c r="D312" s="3">
        <f>(E311/$K$1)*$K$2*1</f>
        <v>5.765698399841651E-4</v>
      </c>
      <c r="E312" s="3">
        <f t="shared" si="8"/>
        <v>7.2053727165683285E-2</v>
      </c>
      <c r="F312" s="3">
        <f>E312/$K$1</f>
        <v>8.9319111399136335E-3</v>
      </c>
      <c r="G312" s="5">
        <f t="shared" si="9"/>
        <v>101325.06214173167</v>
      </c>
    </row>
    <row r="313" spans="1:7" x14ac:dyDescent="0.25">
      <c r="A313">
        <v>2711</v>
      </c>
      <c r="B313" s="3">
        <v>1.06806459950858E-3</v>
      </c>
      <c r="C313" s="3">
        <f>B313*$K$4</f>
        <v>1.06806459950858E-3</v>
      </c>
      <c r="D313" s="3">
        <f>(E312/$K$1)*$K$2*1</f>
        <v>5.8057422409438621E-4</v>
      </c>
      <c r="E313" s="3">
        <f t="shared" si="8"/>
        <v>7.2541217541097477E-2</v>
      </c>
      <c r="F313" s="3">
        <f>E313/$K$1</f>
        <v>8.9923413339652262E-3</v>
      </c>
      <c r="G313" s="5">
        <f t="shared" si="9"/>
        <v>101325.06259492206</v>
      </c>
    </row>
    <row r="314" spans="1:7" x14ac:dyDescent="0.25">
      <c r="A314">
        <v>2712</v>
      </c>
      <c r="B314" s="3">
        <v>1.06139202737451E-3</v>
      </c>
      <c r="C314" s="3">
        <f>B314*$K$4</f>
        <v>1.06139202737451E-3</v>
      </c>
      <c r="D314" s="3">
        <f>(E313/$K$1)*$K$2*1</f>
        <v>5.8450218670773975E-4</v>
      </c>
      <c r="E314" s="3">
        <f t="shared" si="8"/>
        <v>7.3018107381764258E-2</v>
      </c>
      <c r="F314" s="3">
        <f>E314/$K$1</f>
        <v>9.051457466439105E-3</v>
      </c>
      <c r="G314" s="5">
        <f t="shared" si="9"/>
        <v>101325.06303920185</v>
      </c>
    </row>
    <row r="315" spans="1:7" x14ac:dyDescent="0.25">
      <c r="A315">
        <v>2713</v>
      </c>
      <c r="B315" s="3">
        <v>1.0535421101371099E-3</v>
      </c>
      <c r="C315" s="3">
        <f>B315*$K$4</f>
        <v>1.0535421101371099E-3</v>
      </c>
      <c r="D315" s="3">
        <f>(E314/$K$1)*$K$2*1</f>
        <v>5.8834473531854182E-4</v>
      </c>
      <c r="E315" s="3">
        <f t="shared" si="8"/>
        <v>7.3483304756582823E-2</v>
      </c>
      <c r="F315" s="3">
        <f>E315/$K$1</f>
        <v>9.1091241795689618E-3</v>
      </c>
      <c r="G315" s="5">
        <f t="shared" si="9"/>
        <v>101325.06347344557</v>
      </c>
    </row>
    <row r="316" spans="1:7" x14ac:dyDescent="0.25">
      <c r="A316">
        <v>2714</v>
      </c>
      <c r="B316" s="3">
        <v>1.0445326303837E-3</v>
      </c>
      <c r="C316" s="3">
        <f>B316*$K$4</f>
        <v>1.0445326303837E-3</v>
      </c>
      <c r="D316" s="3">
        <f>(E315/$K$1)*$K$2*1</f>
        <v>5.920930716719825E-4</v>
      </c>
      <c r="E316" s="3">
        <f t="shared" si="8"/>
        <v>7.3935744315294552E-2</v>
      </c>
      <c r="F316" s="3">
        <f>E316/$K$1</f>
        <v>9.1652094105980596E-3</v>
      </c>
      <c r="G316" s="5">
        <f t="shared" si="9"/>
        <v>101325.06389655046</v>
      </c>
    </row>
    <row r="317" spans="1:7" x14ac:dyDescent="0.25">
      <c r="A317">
        <v>2715</v>
      </c>
      <c r="B317" s="3">
        <v>1.0343839974836901E-3</v>
      </c>
      <c r="C317" s="3">
        <f>B317*$K$4</f>
        <v>1.0343839974836901E-3</v>
      </c>
      <c r="D317" s="3">
        <f>(E316/$K$1)*$K$2*1</f>
        <v>5.9573861168887388E-4</v>
      </c>
      <c r="E317" s="3">
        <f t="shared" si="8"/>
        <v>7.4374389701089366E-2</v>
      </c>
      <c r="F317" s="3">
        <f>E317/$K$1</f>
        <v>9.2195846908503E-3</v>
      </c>
      <c r="G317" s="5">
        <f t="shared" si="9"/>
        <v>101325.06430743898</v>
      </c>
    </row>
    <row r="318" spans="1:7" x14ac:dyDescent="0.25">
      <c r="A318">
        <v>2716</v>
      </c>
      <c r="B318" s="3">
        <v>1.02311920135475E-3</v>
      </c>
      <c r="C318" s="3">
        <f>B318*$K$4</f>
        <v>1.02311920135475E-3</v>
      </c>
      <c r="D318" s="3">
        <f>(E317/$K$1)*$K$2*1</f>
        <v>5.9927300490526954E-4</v>
      </c>
      <c r="E318" s="3">
        <f t="shared" si="8"/>
        <v>7.4798235897538853E-2</v>
      </c>
      <c r="F318" s="3">
        <f>E318/$K$1</f>
        <v>9.2721254366603268E-3</v>
      </c>
      <c r="G318" s="5">
        <f t="shared" si="9"/>
        <v>101325.06470506122</v>
      </c>
    </row>
    <row r="319" spans="1:7" x14ac:dyDescent="0.25">
      <c r="A319">
        <v>2717</v>
      </c>
      <c r="B319" s="3">
        <v>1.0107637603832399E-3</v>
      </c>
      <c r="C319" s="3">
        <f>B319*$K$4</f>
        <v>1.0107637603832399E-3</v>
      </c>
      <c r="D319" s="3">
        <f>(E318/$K$1)*$K$2*1</f>
        <v>6.0268815338292126E-4</v>
      </c>
      <c r="E319" s="3">
        <f t="shared" si="8"/>
        <v>7.5206311504539172E-2</v>
      </c>
      <c r="F319" s="3">
        <f>E319/$K$1</f>
        <v>9.3227112315035533E-3</v>
      </c>
      <c r="G319" s="5">
        <f t="shared" si="9"/>
        <v>101325.06508839723</v>
      </c>
    </row>
    <row r="320" spans="1:7" x14ac:dyDescent="0.25">
      <c r="A320">
        <v>2718</v>
      </c>
      <c r="B320" s="3">
        <v>9.9734566361689295E-4</v>
      </c>
      <c r="C320" s="3">
        <f>B320*$K$4</f>
        <v>9.9734566361689295E-4</v>
      </c>
      <c r="D320" s="3">
        <f>(E319/$K$1)*$K$2*1</f>
        <v>6.0597623004773101E-4</v>
      </c>
      <c r="E320" s="3">
        <f t="shared" si="8"/>
        <v>7.5597680938108341E-2</v>
      </c>
      <c r="F320" s="3">
        <f>E320/$K$1</f>
        <v>9.3712260986870393E-3</v>
      </c>
      <c r="G320" s="5">
        <f t="shared" si="9"/>
        <v>101325.06545645933</v>
      </c>
    </row>
    <row r="321" spans="1:7" x14ac:dyDescent="0.25">
      <c r="A321">
        <v>2719</v>
      </c>
      <c r="B321" s="3">
        <v>9.8289530736059695E-4</v>
      </c>
      <c r="C321" s="3">
        <f>B321*$K$4</f>
        <v>9.8289530736059695E-4</v>
      </c>
      <c r="D321" s="3">
        <f>(E320/$K$1)*$K$2*1</f>
        <v>6.0912969641465752E-4</v>
      </c>
      <c r="E321" s="3">
        <f t="shared" si="8"/>
        <v>7.5971446549054272E-2</v>
      </c>
      <c r="F321" s="3">
        <f>E321/$K$1</f>
        <v>9.4175587639834229E-3</v>
      </c>
      <c r="G321" s="5">
        <f t="shared" si="9"/>
        <v>101325.06580829434</v>
      </c>
    </row>
    <row r="322" spans="1:7" x14ac:dyDescent="0.25">
      <c r="A322">
        <v>2720</v>
      </c>
      <c r="B322" s="3">
        <v>9.67445426319009E-4</v>
      </c>
      <c r="C322" s="3">
        <f>B322*$K$4</f>
        <v>9.67445426319009E-4</v>
      </c>
      <c r="D322" s="3">
        <f>(E321/$K$1)*$K$2*1</f>
        <v>6.1214131965892256E-4</v>
      </c>
      <c r="E322" s="3">
        <f t="shared" si="8"/>
        <v>7.6326750655714357E-2</v>
      </c>
      <c r="F322" s="3">
        <f>E322/$K$1</f>
        <v>9.4616029076130346E-3</v>
      </c>
      <c r="G322" s="5">
        <f t="shared" si="9"/>
        <v>101325.06614298573</v>
      </c>
    </row>
    <row r="323" spans="1:7" x14ac:dyDescent="0.25">
      <c r="A323">
        <v>2721</v>
      </c>
      <c r="B323" s="3">
        <v>9.5103101944189002E-4</v>
      </c>
      <c r="C323" s="3">
        <f>B323*$K$4</f>
        <v>9.5103101944189002E-4</v>
      </c>
      <c r="D323" s="3">
        <f>(E322/$K$1)*$K$2*1</f>
        <v>6.1500418899484727E-4</v>
      </c>
      <c r="E323" s="3">
        <f t="shared" si="8"/>
        <v>7.666277748616139E-2</v>
      </c>
      <c r="F323" s="3">
        <f>E323/$K$1</f>
        <v>9.5032574050032716E-3</v>
      </c>
      <c r="G323" s="5">
        <f t="shared" si="9"/>
        <v>101325.0664596557</v>
      </c>
    </row>
    <row r="324" spans="1:7" x14ac:dyDescent="0.25">
      <c r="A324">
        <v>2722</v>
      </c>
      <c r="B324" s="3">
        <v>9.33689270640247E-4</v>
      </c>
      <c r="C324" s="3">
        <f>B324*$K$4</f>
        <v>9.33689270640247E-4</v>
      </c>
      <c r="D324" s="3">
        <f>(E323/$K$1)*$K$2*1</f>
        <v>6.1771173132521269E-4</v>
      </c>
      <c r="E324" s="3">
        <f t="shared" ref="E324:E387" si="10">E323+C324-D324</f>
        <v>7.6978755025476422E-2</v>
      </c>
      <c r="F324" s="3">
        <f>E324/$K$1</f>
        <v>9.5424265557798957E-3</v>
      </c>
      <c r="G324" s="5">
        <f t="shared" ref="G324:G387" si="11">G323+C324-$K$5*$K$9*SQRT(MAX(0,2*$K$6*(G323-$K$11)))</f>
        <v>101325.0667574672</v>
      </c>
    </row>
    <row r="325" spans="1:7" x14ac:dyDescent="0.25">
      <c r="A325">
        <v>2723</v>
      </c>
      <c r="B325" s="3">
        <v>9.1545946455281297E-4</v>
      </c>
      <c r="C325" s="3">
        <f>B325*$K$4</f>
        <v>9.1545946455281297E-4</v>
      </c>
      <c r="D325" s="3">
        <f>(E324/$K$1)*$K$2*1</f>
        <v>6.2025772612569325E-4</v>
      </c>
      <c r="E325" s="3">
        <f t="shared" si="10"/>
        <v>7.7273956763903542E-2</v>
      </c>
      <c r="F325" s="3">
        <f>E325/$K$1</f>
        <v>9.5790203004714938E-3</v>
      </c>
      <c r="G325" s="5">
        <f t="shared" si="11"/>
        <v>101325.06703562576</v>
      </c>
    </row>
    <row r="326" spans="1:7" x14ac:dyDescent="0.25">
      <c r="A326">
        <v>2724</v>
      </c>
      <c r="B326" s="3">
        <v>8.9638289755369905E-4</v>
      </c>
      <c r="C326" s="3">
        <f>B326*$K$4</f>
        <v>8.9638289755369905E-4</v>
      </c>
      <c r="D326" s="3">
        <f>(E325/$K$1)*$K$2*1</f>
        <v>6.2263631953064715E-4</v>
      </c>
      <c r="E326" s="3">
        <f t="shared" si="10"/>
        <v>7.7547703341926594E-2</v>
      </c>
      <c r="F326" s="3">
        <f>E326/$K$1</f>
        <v>9.6129544244361719E-3</v>
      </c>
      <c r="G326" s="5">
        <f t="shared" si="11"/>
        <v>101325.06729338142</v>
      </c>
    </row>
    <row r="327" spans="1:7" x14ac:dyDescent="0.25">
      <c r="A327">
        <v>2725</v>
      </c>
      <c r="B327" s="3">
        <v>8.7650278420283204E-4</v>
      </c>
      <c r="C327" s="3">
        <f>B327*$K$4</f>
        <v>8.7650278420283204E-4</v>
      </c>
      <c r="D327" s="3">
        <f>(E326/$K$1)*$K$2*1</f>
        <v>6.2484203758835118E-4</v>
      </c>
      <c r="E327" s="3">
        <f t="shared" si="10"/>
        <v>7.7799364088541073E-2</v>
      </c>
      <c r="F327" s="3">
        <f>E327/$K$1</f>
        <v>9.6441507485485398E-3</v>
      </c>
      <c r="G327" s="5">
        <f t="shared" si="11"/>
        <v>101325.06753003037</v>
      </c>
    </row>
    <row r="328" spans="1:7" x14ac:dyDescent="0.25">
      <c r="A328">
        <v>2726</v>
      </c>
      <c r="B328" s="3">
        <v>8.5586415935107196E-4</v>
      </c>
      <c r="C328" s="3">
        <f>B328*$K$4</f>
        <v>8.5586415935107196E-4</v>
      </c>
      <c r="D328" s="3">
        <f>(E327/$K$1)*$K$2*1</f>
        <v>6.2686979865565512E-4</v>
      </c>
      <c r="E328" s="3">
        <f t="shared" si="10"/>
        <v>7.8028358449236487E-2</v>
      </c>
      <c r="F328" s="3">
        <f>E328/$K$1</f>
        <v>9.6725373062150101E-3</v>
      </c>
      <c r="G328" s="5">
        <f t="shared" si="11"/>
        <v>101325.0677449166</v>
      </c>
    </row>
    <row r="329" spans="1:7" x14ac:dyDescent="0.25">
      <c r="A329">
        <v>2727</v>
      </c>
      <c r="B329" s="3">
        <v>8.3451377612177996E-4</v>
      </c>
      <c r="C329" s="3">
        <f>B329*$K$4</f>
        <v>8.3451377612177996E-4</v>
      </c>
      <c r="D329" s="3">
        <f>(E328/$K$1)*$K$2*1</f>
        <v>6.2871492490397573E-4</v>
      </c>
      <c r="E329" s="3">
        <f t="shared" si="10"/>
        <v>7.8234157300454285E-2</v>
      </c>
      <c r="F329" s="3">
        <f>E329/$K$1</f>
        <v>9.6980485063163854E-3</v>
      </c>
      <c r="G329" s="5">
        <f t="shared" si="11"/>
        <v>101325.06793743343</v>
      </c>
    </row>
    <row r="330" spans="1:7" x14ac:dyDescent="0.25">
      <c r="A330">
        <v>2728</v>
      </c>
      <c r="B330" s="3">
        <v>8.1249999999999996E-4</v>
      </c>
      <c r="C330" s="3">
        <f>B330*$K$4</f>
        <v>8.1249999999999996E-4</v>
      </c>
      <c r="D330" s="3">
        <f>(E329/$K$1)*$K$2*1</f>
        <v>6.3037315291056511E-4</v>
      </c>
      <c r="E330" s="3">
        <f t="shared" si="10"/>
        <v>7.8416284147543716E-2</v>
      </c>
      <c r="F330" s="3">
        <f>E330/$K$1</f>
        <v>9.7206252817086548E-3</v>
      </c>
      <c r="G330" s="5">
        <f t="shared" si="11"/>
        <v>101325.06810702493</v>
      </c>
    </row>
    <row r="331" spans="1:7" x14ac:dyDescent="0.25">
      <c r="A331">
        <v>2729</v>
      </c>
      <c r="B331" s="3">
        <v>7.8987269926901504E-4</v>
      </c>
      <c r="C331" s="3">
        <f>B331*$K$4</f>
        <v>7.8987269926901504E-4</v>
      </c>
      <c r="D331" s="3">
        <f>(E330/$K$1)*$K$2*1</f>
        <v>6.3184064331106256E-4</v>
      </c>
      <c r="E331" s="3">
        <f t="shared" si="10"/>
        <v>7.8574316203501665E-2</v>
      </c>
      <c r="F331" s="3">
        <f>E331/$K$1</f>
        <v>9.7402152229455388E-3</v>
      </c>
      <c r="G331" s="5">
        <f t="shared" si="11"/>
        <v>101325.06825318719</v>
      </c>
    </row>
    <row r="332" spans="1:7" x14ac:dyDescent="0.25">
      <c r="A332">
        <v>2730</v>
      </c>
      <c r="B332" s="3">
        <v>7.6668313204269101E-4</v>
      </c>
      <c r="C332" s="3">
        <f>B332*$K$4</f>
        <v>7.6668313204269101E-4</v>
      </c>
      <c r="D332" s="3">
        <f>(E331/$K$1)*$K$2*1</f>
        <v>6.3311398949146005E-4</v>
      </c>
      <c r="E332" s="3">
        <f t="shared" si="10"/>
        <v>7.8707885346052886E-2</v>
      </c>
      <c r="F332" s="3">
        <f>E332/$K$1</f>
        <v>9.7567726969199058E-3</v>
      </c>
      <c r="G332" s="5">
        <f t="shared" si="11"/>
        <v>101325.06837546952</v>
      </c>
    </row>
    <row r="333" spans="1:7" x14ac:dyDescent="0.25">
      <c r="A333">
        <v>2731</v>
      </c>
      <c r="B333" s="3">
        <v>7.4298383014934804E-4</v>
      </c>
      <c r="C333" s="3">
        <f>B333*$K$4</f>
        <v>7.4298383014934804E-4</v>
      </c>
      <c r="D333" s="3">
        <f>(E332/$K$1)*$K$2*1</f>
        <v>6.3419022529979387E-4</v>
      </c>
      <c r="E333" s="3">
        <f t="shared" si="10"/>
        <v>7.8816678950902441E-2</v>
      </c>
      <c r="F333" s="3">
        <f>E333/$K$1</f>
        <v>9.7702589501552552E-3</v>
      </c>
      <c r="G333" s="5">
        <f t="shared" si="11"/>
        <v>101325.06847347555</v>
      </c>
    </row>
    <row r="334" spans="1:7" x14ac:dyDescent="0.25">
      <c r="A334">
        <v>2732</v>
      </c>
      <c r="B334" s="3">
        <v>7.1882848013027497E-4</v>
      </c>
      <c r="C334" s="3">
        <f>B334*$K$4</f>
        <v>7.1882848013027497E-4</v>
      </c>
      <c r="D334" s="3">
        <f>(E333/$K$1)*$K$2*1</f>
        <v>6.3506683176009157E-4</v>
      </c>
      <c r="E334" s="3">
        <f t="shared" si="10"/>
        <v>7.890044059927262E-2</v>
      </c>
      <c r="F334" s="3">
        <f>E334/$K$1</f>
        <v>9.7806421965132787E-3</v>
      </c>
      <c r="G334" s="5">
        <f t="shared" si="11"/>
        <v>101325.06854686416</v>
      </c>
    </row>
    <row r="335" spans="1:7" x14ac:dyDescent="0.25">
      <c r="A335">
        <v>2733</v>
      </c>
      <c r="B335" s="3">
        <v>6.9427180162244799E-4</v>
      </c>
      <c r="C335" s="3">
        <f>B335*$K$4</f>
        <v>6.9427180162244799E-4</v>
      </c>
      <c r="D335" s="3">
        <f>(E334/$K$1)*$K$2*1</f>
        <v>6.357417427733631E-4</v>
      </c>
      <c r="E335" s="3">
        <f t="shared" si="10"/>
        <v>7.8958970658121699E-2</v>
      </c>
      <c r="F335" s="3">
        <f>E335/$K$1</f>
        <v>9.7878976891188421E-3</v>
      </c>
      <c r="G335" s="5">
        <f t="shared" si="11"/>
        <v>101325.0685953503</v>
      </c>
    </row>
    <row r="336" spans="1:7" x14ac:dyDescent="0.25">
      <c r="A336">
        <v>2734</v>
      </c>
      <c r="B336" s="3">
        <v>6.6936942340093699E-4</v>
      </c>
      <c r="C336" s="3">
        <f>B336*$K$4</f>
        <v>6.6936942340093699E-4</v>
      </c>
      <c r="D336" s="3">
        <f>(E335/$K$1)*$K$2*1</f>
        <v>6.3621334979272479E-4</v>
      </c>
      <c r="E336" s="3">
        <f t="shared" si="10"/>
        <v>7.8992126731729922E-2</v>
      </c>
      <c r="F336" s="3">
        <f>E336/$K$1</f>
        <v>9.7920077763393974E-3</v>
      </c>
      <c r="G336" s="5">
        <f t="shared" si="11"/>
        <v>101325.06861870571</v>
      </c>
    </row>
    <row r="337" spans="1:7" x14ac:dyDescent="0.25">
      <c r="A337">
        <v>2735</v>
      </c>
      <c r="B337" s="3">
        <v>6.4417775736188795E-4</v>
      </c>
      <c r="C337" s="3">
        <f>B337*$K$4</f>
        <v>6.4417775736188795E-4</v>
      </c>
      <c r="D337" s="3">
        <f>(E336/$K$1)*$K$2*1</f>
        <v>6.364805054620608E-4</v>
      </c>
      <c r="E337" s="3">
        <f t="shared" si="10"/>
        <v>7.8999823983629758E-2</v>
      </c>
      <c r="F337" s="3">
        <f>E337/$K$1</f>
        <v>9.7929619416920483E-3</v>
      </c>
      <c r="G337" s="5">
        <f t="shared" si="11"/>
        <v>101325.06861675948</v>
      </c>
    </row>
    <row r="338" spans="1:7" x14ac:dyDescent="0.25">
      <c r="A338">
        <v>2736</v>
      </c>
      <c r="B338" s="3">
        <v>6.1875387073136298E-4</v>
      </c>
      <c r="C338" s="3">
        <f>B338*$K$4</f>
        <v>6.1875387073136298E-4</v>
      </c>
      <c r="D338" s="3">
        <f>(E337/$K$1)*$K$2*1</f>
        <v>6.3654252620998317E-4</v>
      </c>
      <c r="E338" s="3">
        <f t="shared" si="10"/>
        <v>7.8982035328151137E-2</v>
      </c>
      <c r="F338" s="3">
        <f>E338/$K$1</f>
        <v>9.7907568275878432E-3</v>
      </c>
      <c r="G338" s="5">
        <f t="shared" si="11"/>
        <v>101325.06858939852</v>
      </c>
    </row>
    <row r="339" spans="1:7" x14ac:dyDescent="0.25">
      <c r="A339">
        <v>2737</v>
      </c>
      <c r="B339" s="3">
        <v>5.9315535678976803E-4</v>
      </c>
      <c r="C339" s="3">
        <f>B339*$K$4</f>
        <v>5.9315535678976803E-4</v>
      </c>
      <c r="D339" s="3">
        <f>(E338/$K$1)*$K$2*1</f>
        <v>6.3639919379320984E-4</v>
      </c>
      <c r="E339" s="3">
        <f t="shared" si="10"/>
        <v>7.8938791491147686E-2</v>
      </c>
      <c r="F339" s="3">
        <f>E339/$K$1</f>
        <v>9.785396242859512E-3</v>
      </c>
      <c r="G339" s="5">
        <f t="shared" si="11"/>
        <v>101325.06853656789</v>
      </c>
    </row>
    <row r="340" spans="1:7" x14ac:dyDescent="0.25">
      <c r="A340">
        <v>2738</v>
      </c>
      <c r="B340" s="3">
        <v>5.6744020440453095E-4</v>
      </c>
      <c r="C340" s="3">
        <f>B340*$K$4</f>
        <v>5.6744020440453095E-4</v>
      </c>
      <c r="D340" s="3">
        <f>(E339/$K$1)*$K$2*1</f>
        <v>6.3605075578586833E-4</v>
      </c>
      <c r="E340" s="3">
        <f t="shared" si="10"/>
        <v>7.887018093976636E-2</v>
      </c>
      <c r="F340" s="3">
        <f>E340/$K$1</f>
        <v>9.7768911540555802E-3</v>
      </c>
      <c r="G340" s="5">
        <f t="shared" si="11"/>
        <v>101325.06845827094</v>
      </c>
    </row>
    <row r="341" spans="1:7" x14ac:dyDescent="0.25">
      <c r="A341">
        <v>2739</v>
      </c>
      <c r="B341" s="3">
        <v>5.4166666666667195E-4</v>
      </c>
      <c r="C341" s="3">
        <f>B341*$K$4</f>
        <v>5.4166666666667195E-4</v>
      </c>
      <c r="D341" s="3">
        <f>(E340/$K$1)*$K$2*1</f>
        <v>6.3549792501361275E-4</v>
      </c>
      <c r="E341" s="3">
        <f t="shared" si="10"/>
        <v>7.877634968141943E-2</v>
      </c>
      <c r="F341" s="3">
        <f>E341/$K$1</f>
        <v>9.7652596605205689E-3</v>
      </c>
      <c r="G341" s="5">
        <f t="shared" si="11"/>
        <v>101325.0683545694</v>
      </c>
    </row>
    <row r="342" spans="1:7" x14ac:dyDescent="0.25">
      <c r="A342">
        <v>2740</v>
      </c>
      <c r="B342" s="3">
        <v>5.1589312892881295E-4</v>
      </c>
      <c r="C342" s="3">
        <f>B342*$K$4</f>
        <v>5.1589312892881295E-4</v>
      </c>
      <c r="D342" s="3">
        <f>(E341/$K$1)*$K$2*1</f>
        <v>6.3474187793383704E-4</v>
      </c>
      <c r="E342" s="3">
        <f t="shared" si="10"/>
        <v>7.8657500932414415E-2</v>
      </c>
      <c r="F342" s="3">
        <f>E342/$K$1</f>
        <v>9.7505269533177657E-3</v>
      </c>
      <c r="G342" s="5">
        <f t="shared" si="11"/>
        <v>101325.06822558332</v>
      </c>
    </row>
    <row r="343" spans="1:7" x14ac:dyDescent="0.25">
      <c r="A343">
        <v>2741</v>
      </c>
      <c r="B343" s="3">
        <v>4.9017797654357599E-4</v>
      </c>
      <c r="C343" s="3">
        <f>B343*$K$4</f>
        <v>4.9017797654357599E-4</v>
      </c>
      <c r="D343" s="3">
        <f>(E342/$K$1)*$K$2*1</f>
        <v>6.337842519656548E-4</v>
      </c>
      <c r="E343" s="3">
        <f t="shared" si="10"/>
        <v>7.8513894656992336E-2</v>
      </c>
      <c r="F343" s="3">
        <f>E343/$K$1</f>
        <v>9.7327252580875594E-3</v>
      </c>
      <c r="G343" s="5">
        <f t="shared" si="11"/>
        <v>101325.06807149082</v>
      </c>
    </row>
    <row r="344" spans="1:7" x14ac:dyDescent="0.25">
      <c r="A344">
        <v>2742</v>
      </c>
      <c r="B344" s="3">
        <v>4.64579462601969E-4</v>
      </c>
      <c r="C344" s="3">
        <f>B344*$K$4</f>
        <v>4.64579462601969E-4</v>
      </c>
      <c r="D344" s="3">
        <f>(E343/$K$1)*$K$2*1</f>
        <v>6.3262714177569142E-4</v>
      </c>
      <c r="E344" s="3">
        <f t="shared" si="10"/>
        <v>7.8345846977818615E-2</v>
      </c>
      <c r="F344" s="3">
        <f>E344/$K$1</f>
        <v>9.7118937619708207E-3</v>
      </c>
      <c r="G344" s="5">
        <f t="shared" si="11"/>
        <v>101325.06789252779</v>
      </c>
    </row>
    <row r="345" spans="1:7" x14ac:dyDescent="0.25">
      <c r="A345">
        <v>2743</v>
      </c>
      <c r="B345" s="3">
        <v>4.3915557597144501E-4</v>
      </c>
      <c r="C345" s="3">
        <f>B345*$K$4</f>
        <v>4.3915557597144501E-4</v>
      </c>
      <c r="D345" s="3">
        <f>(E344/$K$1)*$K$2*1</f>
        <v>6.3127309452810335E-4</v>
      </c>
      <c r="E345" s="3">
        <f t="shared" si="10"/>
        <v>7.8153729459261953E-2</v>
      </c>
      <c r="F345" s="3">
        <f>E345/$K$1</f>
        <v>9.6880785247628557E-3</v>
      </c>
      <c r="G345" s="5">
        <f t="shared" si="11"/>
        <v>101325.06768898737</v>
      </c>
    </row>
    <row r="346" spans="1:7" x14ac:dyDescent="0.25">
      <c r="A346">
        <v>2744</v>
      </c>
      <c r="B346" s="3">
        <v>4.13963909932395E-4</v>
      </c>
      <c r="C346" s="3">
        <f>B346*$K$4</f>
        <v>4.13963909932395E-4</v>
      </c>
      <c r="D346" s="3">
        <f>(E345/$K$1)*$K$2*1</f>
        <v>6.2972510410958568E-4</v>
      </c>
      <c r="E346" s="3">
        <f t="shared" si="10"/>
        <v>7.793796826508477E-2</v>
      </c>
      <c r="F346" s="3">
        <f>E346/$K$1</f>
        <v>9.661332374499166E-3</v>
      </c>
      <c r="G346" s="5">
        <f t="shared" si="11"/>
        <v>101325.0674612194</v>
      </c>
    </row>
    <row r="347" spans="1:7" x14ac:dyDescent="0.25">
      <c r="A347">
        <v>2745</v>
      </c>
      <c r="B347" s="3">
        <v>3.8906153171089499E-4</v>
      </c>
      <c r="C347" s="3">
        <f>B347*$K$4</f>
        <v>3.8906153171089499E-4</v>
      </c>
      <c r="D347" s="3">
        <f>(E346/$K$1)*$K$2*1</f>
        <v>6.2798660434244585E-4</v>
      </c>
      <c r="E347" s="3">
        <f t="shared" si="10"/>
        <v>7.7699043192453215E-2</v>
      </c>
      <c r="F347" s="3">
        <f>E347/$K$1</f>
        <v>9.6317147877095846E-3</v>
      </c>
      <c r="G347" s="5">
        <f t="shared" si="11"/>
        <v>101325.06720962965</v>
      </c>
    </row>
    <row r="348" spans="1:7" x14ac:dyDescent="0.25">
      <c r="A348">
        <v>2746</v>
      </c>
      <c r="B348" s="3">
        <v>3.6450485320306802E-4</v>
      </c>
      <c r="C348" s="3">
        <f>B348*$K$4</f>
        <v>3.6450485320306802E-4</v>
      </c>
      <c r="D348" s="3">
        <f>(E347/$K$1)*$K$2*1</f>
        <v>6.26061461201123E-4</v>
      </c>
      <c r="E348" s="3">
        <f t="shared" si="10"/>
        <v>7.7437486584455165E-2</v>
      </c>
      <c r="F348" s="3">
        <f>E348/$K$1</f>
        <v>9.5992917546120198E-3</v>
      </c>
      <c r="G348" s="5">
        <f t="shared" si="11"/>
        <v>101325.06693467897</v>
      </c>
    </row>
    <row r="349" spans="1:7" x14ac:dyDescent="0.25">
      <c r="A349">
        <v>2747</v>
      </c>
      <c r="B349" s="3">
        <v>3.40349503183995E-4</v>
      </c>
      <c r="C349" s="3">
        <f>B349*$K$4</f>
        <v>3.40349503183995E-4</v>
      </c>
      <c r="D349" s="3">
        <f>(E348/$K$1)*$K$2*1</f>
        <v>6.2395396404978131E-4</v>
      </c>
      <c r="E349" s="3">
        <f t="shared" si="10"/>
        <v>7.7153882123589382E-2</v>
      </c>
      <c r="F349" s="3">
        <f>E349/$K$1</f>
        <v>9.5641356295511817E-3</v>
      </c>
      <c r="G349" s="5">
        <f t="shared" si="11"/>
        <v>101325.06663688226</v>
      </c>
    </row>
    <row r="350" spans="1:7" x14ac:dyDescent="0.25">
      <c r="A350">
        <v>2748</v>
      </c>
      <c r="B350" s="3">
        <v>3.1665020129065198E-4</v>
      </c>
      <c r="C350" s="3">
        <f>B350*$K$4</f>
        <v>3.1665020129065198E-4</v>
      </c>
      <c r="D350" s="3">
        <f>(E349/$K$1)*$K$2*1</f>
        <v>6.216688159208268E-4</v>
      </c>
      <c r="E350" s="3">
        <f t="shared" si="10"/>
        <v>7.6848863508959211E-2</v>
      </c>
      <c r="F350" s="3">
        <f>E350/$K$1</f>
        <v>9.5263249670210996E-3</v>
      </c>
      <c r="G350" s="5">
        <f t="shared" si="11"/>
        <v>101325.06631680741</v>
      </c>
    </row>
    <row r="351" spans="1:7" x14ac:dyDescent="0.25">
      <c r="A351">
        <v>2749</v>
      </c>
      <c r="B351" s="3">
        <v>2.9346063406431798E-4</v>
      </c>
      <c r="C351" s="3">
        <f>B351*$K$4</f>
        <v>2.9346063406431798E-4</v>
      </c>
      <c r="D351" s="3">
        <f>(E350/$K$1)*$K$2*1</f>
        <v>6.192111228563715E-4</v>
      </c>
      <c r="E351" s="3">
        <f t="shared" si="10"/>
        <v>7.6523113020167163E-2</v>
      </c>
      <c r="F351" s="3">
        <f>E351/$K$1</f>
        <v>9.4859443436428863E-3</v>
      </c>
      <c r="G351" s="5">
        <f t="shared" si="11"/>
        <v>101325.06597507402</v>
      </c>
    </row>
    <row r="352" spans="1:7" x14ac:dyDescent="0.25">
      <c r="A352">
        <v>2750</v>
      </c>
      <c r="B352" s="3">
        <v>2.70833333333333E-4</v>
      </c>
      <c r="C352" s="3">
        <f>B352*$K$4</f>
        <v>2.70833333333333E-4</v>
      </c>
      <c r="D352" s="3">
        <f>(E351/$K$1)*$K$2*1</f>
        <v>6.1658638233678769E-4</v>
      </c>
      <c r="E352" s="3">
        <f t="shared" si="10"/>
        <v>7.6177359971163705E-2</v>
      </c>
      <c r="F352" s="3">
        <f>E352/$K$1</f>
        <v>9.443084166501017E-3</v>
      </c>
      <c r="G352" s="5">
        <f t="shared" si="11"/>
        <v>101325.06561235203</v>
      </c>
    </row>
    <row r="353" spans="1:7" x14ac:dyDescent="0.25">
      <c r="A353">
        <v>2751</v>
      </c>
      <c r="B353" s="3">
        <v>0</v>
      </c>
      <c r="C353" s="3">
        <f>B353*$K$4</f>
        <v>0</v>
      </c>
      <c r="D353" s="3">
        <f>(E352/$K$1)*$K$2*1</f>
        <v>6.1380047082256611E-4</v>
      </c>
      <c r="E353" s="3">
        <f t="shared" si="10"/>
        <v>7.5563559500341132E-2</v>
      </c>
      <c r="F353" s="3">
        <f>E353/$K$1</f>
        <v>9.3669963431686036E-3</v>
      </c>
      <c r="G353" s="5">
        <f t="shared" si="11"/>
        <v>101325.0649805407</v>
      </c>
    </row>
    <row r="354" spans="1:7" x14ac:dyDescent="0.25">
      <c r="A354">
        <v>2752</v>
      </c>
      <c r="B354" s="3">
        <v>0</v>
      </c>
      <c r="C354" s="3">
        <f>B354*$K$4</f>
        <v>0</v>
      </c>
      <c r="D354" s="3">
        <f>(E353/$K$1)*$K$2*1</f>
        <v>6.0885476230595928E-4</v>
      </c>
      <c r="E354" s="3">
        <f t="shared" si="10"/>
        <v>7.4954704738035172E-2</v>
      </c>
      <c r="F354" s="3">
        <f>E354/$K$1</f>
        <v>9.2915215988639104E-3</v>
      </c>
      <c r="G354" s="5">
        <f t="shared" si="11"/>
        <v>101325.06435177874</v>
      </c>
    </row>
    <row r="355" spans="1:7" x14ac:dyDescent="0.25">
      <c r="A355">
        <v>2753</v>
      </c>
      <c r="B355" s="3">
        <v>0</v>
      </c>
      <c r="C355" s="3">
        <f>B355*$K$4</f>
        <v>0</v>
      </c>
      <c r="D355" s="3">
        <f>(E354/$K$1)*$K$2*1</f>
        <v>6.0394890392615418E-4</v>
      </c>
      <c r="E355" s="3">
        <f t="shared" si="10"/>
        <v>7.4350755834109022E-2</v>
      </c>
      <c r="F355" s="3">
        <f>E355/$K$1</f>
        <v>9.2166549936914619E-3</v>
      </c>
      <c r="G355" s="5">
        <f t="shared" si="11"/>
        <v>101325.06372606618</v>
      </c>
    </row>
    <row r="356" spans="1:7" x14ac:dyDescent="0.25">
      <c r="A356">
        <v>2754</v>
      </c>
      <c r="B356" s="3">
        <v>0</v>
      </c>
      <c r="C356" s="3">
        <f>B356*$K$4</f>
        <v>0</v>
      </c>
      <c r="D356" s="3">
        <f>(E355/$K$1)*$K$2*1</f>
        <v>5.9908257458994509E-4</v>
      </c>
      <c r="E356" s="3">
        <f t="shared" si="10"/>
        <v>7.3751673259519077E-2</v>
      </c>
      <c r="F356" s="3">
        <f>E356/$K$1</f>
        <v>9.1423916275590773E-3</v>
      </c>
      <c r="G356" s="5">
        <f t="shared" si="11"/>
        <v>101325.06310340304</v>
      </c>
    </row>
    <row r="357" spans="1:7" x14ac:dyDescent="0.25">
      <c r="A357">
        <v>2755</v>
      </c>
      <c r="B357" s="3">
        <v>0</v>
      </c>
      <c r="C357" s="3">
        <f>B357*$K$4</f>
        <v>0</v>
      </c>
      <c r="D357" s="3">
        <f>(E356/$K$1)*$K$2*1</f>
        <v>5.9425545579134002E-4</v>
      </c>
      <c r="E357" s="3">
        <f t="shared" si="10"/>
        <v>7.315741780372774E-2</v>
      </c>
      <c r="F357" s="3">
        <f>E357/$K$1</f>
        <v>9.068726639857163E-3</v>
      </c>
      <c r="G357" s="5">
        <f t="shared" si="11"/>
        <v>101325.06248378937</v>
      </c>
    </row>
    <row r="358" spans="1:7" x14ac:dyDescent="0.25">
      <c r="A358">
        <v>2756</v>
      </c>
      <c r="B358" s="3">
        <v>0</v>
      </c>
      <c r="C358" s="3">
        <f>B358*$K$4</f>
        <v>0</v>
      </c>
      <c r="D358" s="3">
        <f>(E357/$K$1)*$K$2*1</f>
        <v>5.8946723159071567E-4</v>
      </c>
      <c r="E358" s="3">
        <f t="shared" si="10"/>
        <v>7.2567950572137024E-2</v>
      </c>
      <c r="F358" s="3">
        <f>E358/$K$1</f>
        <v>8.9956552091405764E-3</v>
      </c>
      <c r="G358" s="5">
        <f t="shared" si="11"/>
        <v>101325.0618672252</v>
      </c>
    </row>
    <row r="359" spans="1:7" x14ac:dyDescent="0.25">
      <c r="A359">
        <v>2757</v>
      </c>
      <c r="B359" s="3">
        <v>0</v>
      </c>
      <c r="C359" s="3">
        <f>B359*$K$4</f>
        <v>0</v>
      </c>
      <c r="D359" s="3">
        <f>(E358/$K$1)*$K$2*1</f>
        <v>5.8471758859413752E-4</v>
      </c>
      <c r="E359" s="3">
        <f t="shared" si="10"/>
        <v>7.198323298354288E-2</v>
      </c>
      <c r="F359" s="3">
        <f>E359/$K$1</f>
        <v>8.9231725528130506E-3</v>
      </c>
      <c r="G359" s="5">
        <f t="shared" si="11"/>
        <v>101325.06125371058</v>
      </c>
    </row>
    <row r="360" spans="1:7" x14ac:dyDescent="0.25">
      <c r="A360">
        <v>2758</v>
      </c>
      <c r="B360" s="3">
        <v>0</v>
      </c>
      <c r="C360" s="3">
        <f>B360*$K$4</f>
        <v>0</v>
      </c>
      <c r="D360" s="3">
        <f>(E359/$K$1)*$K$2*1</f>
        <v>5.8000621593284831E-4</v>
      </c>
      <c r="E360" s="3">
        <f t="shared" si="10"/>
        <v>7.1403226767610031E-2</v>
      </c>
      <c r="F360" s="3">
        <f>E360/$K$1</f>
        <v>8.8512739268141842E-3</v>
      </c>
      <c r="G360" s="5">
        <f t="shared" si="11"/>
        <v>101325.06064324552</v>
      </c>
    </row>
    <row r="361" spans="1:7" x14ac:dyDescent="0.25">
      <c r="A361">
        <v>2759</v>
      </c>
      <c r="B361" s="3">
        <v>0</v>
      </c>
      <c r="C361" s="3">
        <f>B361*$K$4</f>
        <v>0</v>
      </c>
      <c r="D361" s="3">
        <f>(E360/$K$1)*$K$2*1</f>
        <v>5.7533280524292194E-4</v>
      </c>
      <c r="E361" s="3">
        <f t="shared" si="10"/>
        <v>7.0827893962367106E-2</v>
      </c>
      <c r="F361" s="3">
        <f>E361/$K$1</f>
        <v>8.7799546253089257E-3</v>
      </c>
      <c r="G361" s="5">
        <f t="shared" si="11"/>
        <v>101325.06003583009</v>
      </c>
    </row>
    <row r="362" spans="1:7" x14ac:dyDescent="0.25">
      <c r="A362">
        <v>2760</v>
      </c>
      <c r="B362" s="3">
        <v>0</v>
      </c>
      <c r="C362" s="3">
        <f>B362*$K$4</f>
        <v>0</v>
      </c>
      <c r="D362" s="3">
        <f>(E361/$K$1)*$K$2*1</f>
        <v>5.7069705064508014E-4</v>
      </c>
      <c r="E362" s="3">
        <f t="shared" si="10"/>
        <v>7.0257196911722025E-2</v>
      </c>
      <c r="F362" s="3">
        <f>E362/$K$1</f>
        <v>8.7092099803795734E-3</v>
      </c>
      <c r="G362" s="5">
        <f t="shared" si="11"/>
        <v>101325.05943146431</v>
      </c>
    </row>
    <row r="363" spans="1:7" x14ac:dyDescent="0.25">
      <c r="A363">
        <v>2761</v>
      </c>
      <c r="B363" s="3">
        <v>0</v>
      </c>
      <c r="C363" s="3">
        <f>B363*$K$4</f>
        <v>0</v>
      </c>
      <c r="D363" s="3">
        <f>(E362/$K$1)*$K$2*1</f>
        <v>5.660986487246723E-4</v>
      </c>
      <c r="E363" s="3">
        <f t="shared" si="10"/>
        <v>6.9691098262997353E-2</v>
      </c>
      <c r="F363" s="3">
        <f>E363/$K$1</f>
        <v>8.6390353617202612E-3</v>
      </c>
      <c r="G363" s="5">
        <f t="shared" si="11"/>
        <v>101325.05883014823</v>
      </c>
    </row>
    <row r="364" spans="1:7" x14ac:dyDescent="0.25">
      <c r="A364">
        <v>2762</v>
      </c>
      <c r="B364" s="3">
        <v>0</v>
      </c>
      <c r="C364" s="3">
        <f>B364*$K$4</f>
        <v>0</v>
      </c>
      <c r="D364" s="3">
        <f>(E363/$K$1)*$K$2*1</f>
        <v>5.6153729851181702E-4</v>
      </c>
      <c r="E364" s="3">
        <f t="shared" si="10"/>
        <v>6.912956096448554E-2</v>
      </c>
      <c r="F364" s="3">
        <f>E364/$K$1</f>
        <v>8.5694261763338952E-3</v>
      </c>
      <c r="G364" s="5">
        <f t="shared" si="11"/>
        <v>101325.05823188189</v>
      </c>
    </row>
    <row r="365" spans="1:7" x14ac:dyDescent="0.25">
      <c r="A365">
        <v>2763</v>
      </c>
      <c r="B365" s="3">
        <v>0</v>
      </c>
      <c r="C365" s="3">
        <f>B365*$K$4</f>
        <v>0</v>
      </c>
      <c r="D365" s="3">
        <f>(E364/$K$1)*$K$2*1</f>
        <v>5.5701270146170324E-4</v>
      </c>
      <c r="E365" s="3">
        <f t="shared" si="10"/>
        <v>6.8572548263023836E-2</v>
      </c>
      <c r="F365" s="3">
        <f>E365/$K$1</f>
        <v>8.5003778682315404E-3</v>
      </c>
      <c r="G365" s="5">
        <f t="shared" si="11"/>
        <v>101325.05763666533</v>
      </c>
    </row>
    <row r="366" spans="1:7" x14ac:dyDescent="0.25">
      <c r="A366">
        <v>2764</v>
      </c>
      <c r="B366" s="3">
        <v>0</v>
      </c>
      <c r="C366" s="3">
        <f>B366*$K$4</f>
        <v>0</v>
      </c>
      <c r="D366" s="3">
        <f>(E365/$K$1)*$K$2*1</f>
        <v>5.5252456143505013E-4</v>
      </c>
      <c r="E366" s="3">
        <f t="shared" si="10"/>
        <v>6.8020023701588786E-2</v>
      </c>
      <c r="F366" s="3">
        <f>E366/$K$1</f>
        <v>8.4318859181342232E-3</v>
      </c>
      <c r="G366" s="5">
        <f t="shared" si="11"/>
        <v>101325.05704449856</v>
      </c>
    </row>
    <row r="367" spans="1:7" x14ac:dyDescent="0.25">
      <c r="A367">
        <v>2765</v>
      </c>
      <c r="B367" s="3">
        <v>0</v>
      </c>
      <c r="C367" s="3">
        <f>B367*$K$4</f>
        <v>0</v>
      </c>
      <c r="D367" s="3">
        <f>(E366/$K$1)*$K$2*1</f>
        <v>5.4807258467872452E-4</v>
      </c>
      <c r="E367" s="3">
        <f t="shared" si="10"/>
        <v>6.7471951116910067E-2</v>
      </c>
      <c r="F367" s="3">
        <f>E367/$K$1</f>
        <v>8.363945843177149E-3</v>
      </c>
      <c r="G367" s="5">
        <f t="shared" si="11"/>
        <v>101325.05645538165</v>
      </c>
    </row>
    <row r="368" spans="1:7" x14ac:dyDescent="0.25">
      <c r="A368">
        <v>2766</v>
      </c>
      <c r="B368" s="3">
        <v>0</v>
      </c>
      <c r="C368" s="3">
        <f>B368*$K$4</f>
        <v>0</v>
      </c>
      <c r="D368" s="3">
        <f>(E367/$K$1)*$K$2*1</f>
        <v>5.4365647980651472E-4</v>
      </c>
      <c r="E368" s="3">
        <f t="shared" si="10"/>
        <v>6.692829463710355E-2</v>
      </c>
      <c r="F368" s="3">
        <f>E368/$K$1</f>
        <v>8.2965531966162822E-3</v>
      </c>
      <c r="G368" s="5">
        <f t="shared" si="11"/>
        <v>101325.05586931464</v>
      </c>
    </row>
    <row r="369" spans="1:7" x14ac:dyDescent="0.25">
      <c r="A369">
        <v>2767</v>
      </c>
      <c r="B369" s="3">
        <v>0</v>
      </c>
      <c r="C369" s="3">
        <f>B369*$K$4</f>
        <v>0</v>
      </c>
      <c r="D369" s="3">
        <f>(E368/$K$1)*$K$2*1</f>
        <v>5.3927595778005836E-4</v>
      </c>
      <c r="E369" s="3">
        <f t="shared" si="10"/>
        <v>6.6389018679323494E-2</v>
      </c>
      <c r="F369" s="3">
        <f>E369/$K$1</f>
        <v>8.229703567537312E-3</v>
      </c>
      <c r="G369" s="5">
        <f t="shared" si="11"/>
        <v>101325.05528629757</v>
      </c>
    </row>
    <row r="370" spans="1:7" x14ac:dyDescent="0.25">
      <c r="A370">
        <v>2768</v>
      </c>
      <c r="B370" s="3">
        <v>0</v>
      </c>
      <c r="C370" s="3">
        <f>B370*$K$4</f>
        <v>0</v>
      </c>
      <c r="D370" s="3">
        <f>(E369/$K$1)*$K$2*1</f>
        <v>5.3493073188992527E-4</v>
      </c>
      <c r="E370" s="3">
        <f t="shared" si="10"/>
        <v>6.5854087947433568E-2</v>
      </c>
      <c r="F370" s="3">
        <f>E370/$K$1</f>
        <v>8.1633925805669472E-3</v>
      </c>
      <c r="G370" s="5">
        <f t="shared" si="11"/>
        <v>101325.05470633048</v>
      </c>
    </row>
    <row r="371" spans="1:7" x14ac:dyDescent="0.25">
      <c r="A371">
        <v>2769</v>
      </c>
      <c r="B371" s="3">
        <v>0</v>
      </c>
      <c r="C371" s="3">
        <f>B371*$K$4</f>
        <v>0</v>
      </c>
      <c r="D371" s="3">
        <f>(E370/$K$1)*$K$2*1</f>
        <v>5.3062051773685153E-4</v>
      </c>
      <c r="E371" s="3">
        <f t="shared" si="10"/>
        <v>6.5323467429696719E-2</v>
      </c>
      <c r="F371" s="3">
        <f>E371/$K$1</f>
        <v>8.0976158955865518E-3</v>
      </c>
      <c r="G371" s="5">
        <f t="shared" si="11"/>
        <v>101325.0541294134</v>
      </c>
    </row>
    <row r="372" spans="1:7" x14ac:dyDescent="0.25">
      <c r="A372">
        <v>2770</v>
      </c>
      <c r="B372" s="3">
        <v>0</v>
      </c>
      <c r="C372" s="3">
        <f>B372*$K$4</f>
        <v>0</v>
      </c>
      <c r="D372" s="3">
        <f>(E371/$K$1)*$K$2*1</f>
        <v>5.2634503321312594E-4</v>
      </c>
      <c r="E372" s="3">
        <f t="shared" si="10"/>
        <v>6.4797122396483595E-2</v>
      </c>
      <c r="F372" s="3">
        <f>E372/$K$1</f>
        <v>8.0323692074480719E-3</v>
      </c>
      <c r="G372" s="5">
        <f t="shared" si="11"/>
        <v>101325.05355554639</v>
      </c>
    </row>
    <row r="373" spans="1:7" x14ac:dyDescent="0.25">
      <c r="A373">
        <v>2771</v>
      </c>
      <c r="B373" s="3">
        <v>0</v>
      </c>
      <c r="C373" s="3">
        <f>B373*$K$4</f>
        <v>0</v>
      </c>
      <c r="D373" s="3">
        <f>(E372/$K$1)*$K$2*1</f>
        <v>5.221039984841247E-4</v>
      </c>
      <c r="E373" s="3">
        <f t="shared" si="10"/>
        <v>6.427501839799947E-2</v>
      </c>
      <c r="F373" s="3">
        <f>E373/$K$1</f>
        <v>7.9676482456922607E-3</v>
      </c>
      <c r="G373" s="5">
        <f t="shared" si="11"/>
        <v>101325.05298472948</v>
      </c>
    </row>
    <row r="374" spans="1:7" x14ac:dyDescent="0.25">
      <c r="A374">
        <v>2772</v>
      </c>
      <c r="B374" s="3">
        <v>0</v>
      </c>
      <c r="C374" s="3">
        <f>B374*$K$4</f>
        <v>0</v>
      </c>
      <c r="D374" s="3">
        <f>(E373/$K$1)*$K$2*1</f>
        <v>5.17897135969997E-4</v>
      </c>
      <c r="E374" s="3">
        <f t="shared" si="10"/>
        <v>6.3757121262029468E-2</v>
      </c>
      <c r="F374" s="3">
        <f>E374/$K$1</f>
        <v>7.9034487742691787E-3</v>
      </c>
      <c r="G374" s="5">
        <f t="shared" si="11"/>
        <v>101325.05241696272</v>
      </c>
    </row>
    <row r="375" spans="1:7" x14ac:dyDescent="0.25">
      <c r="A375">
        <v>2773</v>
      </c>
      <c r="B375" s="3">
        <v>0</v>
      </c>
      <c r="C375" s="3">
        <f>B375*$K$4</f>
        <v>0</v>
      </c>
      <c r="D375" s="3">
        <f>(E374/$K$1)*$K$2*1</f>
        <v>5.1372417032749659E-4</v>
      </c>
      <c r="E375" s="3">
        <f t="shared" si="10"/>
        <v>6.3243397091701972E-2</v>
      </c>
      <c r="F375" s="3">
        <f>E375/$K$1</f>
        <v>7.8397665912609358E-3</v>
      </c>
      <c r="G375" s="5">
        <f t="shared" si="11"/>
        <v>101325.05185224615</v>
      </c>
    </row>
    <row r="376" spans="1:7" x14ac:dyDescent="0.25">
      <c r="A376">
        <v>2774</v>
      </c>
      <c r="B376" s="3">
        <v>0</v>
      </c>
      <c r="C376" s="3">
        <f>B376*$K$4</f>
        <v>0</v>
      </c>
      <c r="D376" s="3">
        <f>(E375/$K$1)*$K$2*1</f>
        <v>5.0958482843196083E-4</v>
      </c>
      <c r="E376" s="3">
        <f t="shared" si="10"/>
        <v>6.2733812263270017E-2</v>
      </c>
      <c r="F376" s="3">
        <f>E376/$K$1</f>
        <v>7.7765975286066711E-3</v>
      </c>
      <c r="G376" s="5">
        <f t="shared" si="11"/>
        <v>101325.05129057982</v>
      </c>
    </row>
    <row r="377" spans="1:7" x14ac:dyDescent="0.25">
      <c r="A377">
        <v>2775</v>
      </c>
      <c r="B377" s="3">
        <v>0</v>
      </c>
      <c r="C377" s="3">
        <f>B377*$K$4</f>
        <v>0</v>
      </c>
      <c r="D377" s="3">
        <f>(E376/$K$1)*$K$2*1</f>
        <v>5.0547883935943359E-4</v>
      </c>
      <c r="E377" s="3">
        <f t="shared" si="10"/>
        <v>6.2228333423910584E-2</v>
      </c>
      <c r="F377" s="3">
        <f>E377/$K$1</f>
        <v>7.7139374518297487E-3</v>
      </c>
      <c r="G377" s="5">
        <f t="shared" si="11"/>
        <v>101325.05073196378</v>
      </c>
    </row>
    <row r="378" spans="1:7" x14ac:dyDescent="0.25">
      <c r="A378">
        <v>2776</v>
      </c>
      <c r="B378" s="3">
        <v>0</v>
      </c>
      <c r="C378" s="3">
        <f>B378*$K$4</f>
        <v>0</v>
      </c>
      <c r="D378" s="3">
        <f>(E377/$K$1)*$K$2*1</f>
        <v>5.0140593436893369E-4</v>
      </c>
      <c r="E378" s="3">
        <f t="shared" si="10"/>
        <v>6.1726927489541651E-2</v>
      </c>
      <c r="F378" s="3">
        <f>E378/$K$1</f>
        <v>7.6517822597671559E-3</v>
      </c>
      <c r="G378" s="5">
        <f t="shared" si="11"/>
        <v>101325.05017639807</v>
      </c>
    </row>
    <row r="379" spans="1:7" x14ac:dyDescent="0.25">
      <c r="A379">
        <v>2777</v>
      </c>
      <c r="B379" s="3">
        <v>0</v>
      </c>
      <c r="C379" s="3">
        <f>B379*$K$4</f>
        <v>0</v>
      </c>
      <c r="D379" s="3">
        <f>(E378/$K$1)*$K$2*1</f>
        <v>4.9736584688486513E-4</v>
      </c>
      <c r="E379" s="3">
        <f t="shared" si="10"/>
        <v>6.1229561642656784E-2</v>
      </c>
      <c r="F379" s="3">
        <f>E379/$K$1</f>
        <v>7.5901278843010763E-3</v>
      </c>
      <c r="G379" s="5">
        <f t="shared" si="11"/>
        <v>101325.04962388273</v>
      </c>
    </row>
    <row r="380" spans="1:7" x14ac:dyDescent="0.25">
      <c r="A380">
        <v>2778</v>
      </c>
      <c r="B380" s="3">
        <v>0</v>
      </c>
      <c r="C380" s="3">
        <f>B380*$K$4</f>
        <v>0</v>
      </c>
      <c r="D380" s="3">
        <f>(E379/$K$1)*$K$2*1</f>
        <v>4.9335831247956994E-4</v>
      </c>
      <c r="E380" s="3">
        <f t="shared" si="10"/>
        <v>6.0736203330177214E-2</v>
      </c>
      <c r="F380" s="3">
        <f>E380/$K$1</f>
        <v>7.5289702900926255E-3</v>
      </c>
      <c r="G380" s="5">
        <f t="shared" si="11"/>
        <v>101325.04907441781</v>
      </c>
    </row>
    <row r="381" spans="1:7" x14ac:dyDescent="0.25">
      <c r="A381">
        <v>2779</v>
      </c>
      <c r="B381" s="3">
        <v>0</v>
      </c>
      <c r="C381" s="3">
        <f>B381*$K$4</f>
        <v>0</v>
      </c>
      <c r="D381" s="3">
        <f>(E380/$K$1)*$K$2*1</f>
        <v>4.8938306885602063E-4</v>
      </c>
      <c r="E381" s="3">
        <f t="shared" si="10"/>
        <v>6.0246820261321193E-2</v>
      </c>
      <c r="F381" s="3">
        <f>E381/$K$1</f>
        <v>7.4683054743177376E-3</v>
      </c>
      <c r="G381" s="5">
        <f t="shared" si="11"/>
        <v>101325.04852800335</v>
      </c>
    </row>
    <row r="382" spans="1:7" x14ac:dyDescent="0.25">
      <c r="A382">
        <v>2780</v>
      </c>
      <c r="B382" s="3">
        <v>0</v>
      </c>
      <c r="C382" s="3">
        <f>B382*$K$4</f>
        <v>0</v>
      </c>
      <c r="D382" s="3">
        <f>(E381/$K$1)*$K$2*1</f>
        <v>4.8543985583065298E-4</v>
      </c>
      <c r="E382" s="3">
        <f t="shared" si="10"/>
        <v>5.976138040549054E-2</v>
      </c>
      <c r="F382" s="3">
        <f>E382/$K$1</f>
        <v>7.4081294664051743E-3</v>
      </c>
      <c r="G382" s="5">
        <f t="shared" si="11"/>
        <v>101325.0479846394</v>
      </c>
    </row>
    <row r="383" spans="1:7" x14ac:dyDescent="0.25">
      <c r="A383">
        <v>2781</v>
      </c>
      <c r="B383" s="3">
        <v>0</v>
      </c>
      <c r="C383" s="3">
        <f>B383*$K$4</f>
        <v>0</v>
      </c>
      <c r="D383" s="3">
        <f>(E382/$K$1)*$K$2*1</f>
        <v>4.8152841531633634E-4</v>
      </c>
      <c r="E383" s="3">
        <f t="shared" si="10"/>
        <v>5.9279851990174201E-2</v>
      </c>
      <c r="F383" s="3">
        <f>E383/$K$1</f>
        <v>7.3484383277766458E-3</v>
      </c>
      <c r="G383" s="5">
        <f t="shared" si="11"/>
        <v>101325.04744432602</v>
      </c>
    </row>
    <row r="384" spans="1:7" x14ac:dyDescent="0.25">
      <c r="A384">
        <v>2782</v>
      </c>
      <c r="B384" s="3">
        <v>0</v>
      </c>
      <c r="C384" s="3">
        <f>B384*$K$4</f>
        <v>0</v>
      </c>
      <c r="D384" s="3">
        <f>(E383/$K$1)*$K$2*1</f>
        <v>4.7764849130548198E-4</v>
      </c>
      <c r="E384" s="3">
        <f t="shared" si="10"/>
        <v>5.8802203498868721E-2</v>
      </c>
      <c r="F384" s="3">
        <f>E384/$K$1</f>
        <v>7.2892281515890322E-3</v>
      </c>
      <c r="G384" s="5">
        <f t="shared" si="11"/>
        <v>101325.04690706325</v>
      </c>
    </row>
    <row r="385" spans="1:7" x14ac:dyDescent="0.25">
      <c r="A385">
        <v>2783</v>
      </c>
      <c r="B385" s="3">
        <v>0</v>
      </c>
      <c r="C385" s="3">
        <f>B385*$K$4</f>
        <v>0</v>
      </c>
      <c r="D385" s="3">
        <f>(E384/$K$1)*$K$2*1</f>
        <v>4.7379982985328712E-4</v>
      </c>
      <c r="E385" s="3">
        <f t="shared" si="10"/>
        <v>5.8328403669015434E-2</v>
      </c>
      <c r="F385" s="3">
        <f>E385/$K$1</f>
        <v>7.2304950624786707E-3</v>
      </c>
      <c r="G385" s="5">
        <f t="shared" si="11"/>
        <v>101325.04637285115</v>
      </c>
    </row>
    <row r="386" spans="1:7" x14ac:dyDescent="0.25">
      <c r="A386">
        <v>2784</v>
      </c>
      <c r="B386" s="3">
        <v>0</v>
      </c>
      <c r="C386" s="3">
        <f>B386*$K$4</f>
        <v>0</v>
      </c>
      <c r="D386" s="3">
        <f>(E385/$K$1)*$K$2*1</f>
        <v>4.6998217906111362E-4</v>
      </c>
      <c r="E386" s="3">
        <f t="shared" si="10"/>
        <v>5.785842148995432E-2</v>
      </c>
      <c r="F386" s="3">
        <f>E386/$K$1</f>
        <v>7.172235216307713E-3</v>
      </c>
      <c r="G386" s="5">
        <f t="shared" si="11"/>
        <v>101325.04584168976</v>
      </c>
    </row>
    <row r="387" spans="1:7" x14ac:dyDescent="0.25">
      <c r="A387">
        <v>2785</v>
      </c>
      <c r="B387" s="3">
        <v>0</v>
      </c>
      <c r="C387" s="3">
        <f>B387*$K$4</f>
        <v>0</v>
      </c>
      <c r="D387" s="3">
        <f>(E386/$K$1)*$K$2*1</f>
        <v>4.6619528906000134E-4</v>
      </c>
      <c r="E387" s="3">
        <f t="shared" si="10"/>
        <v>5.739222620089432E-2</v>
      </c>
      <c r="F387" s="3">
        <f>E387/$K$1</f>
        <v>7.1144447999125227E-3</v>
      </c>
      <c r="G387" s="5">
        <f t="shared" si="11"/>
        <v>101325.04531357913</v>
      </c>
    </row>
    <row r="388" spans="1:7" x14ac:dyDescent="0.25">
      <c r="A388">
        <v>2786</v>
      </c>
      <c r="B388" s="3">
        <v>0</v>
      </c>
      <c r="C388" s="3">
        <f>B388*$K$4</f>
        <v>0</v>
      </c>
      <c r="D388" s="3">
        <f>(E387/$K$1)*$K$2*1</f>
        <v>4.6243891199431396E-4</v>
      </c>
      <c r="E388" s="3">
        <f t="shared" ref="E388:E451" si="12">E387+C388-D388</f>
        <v>5.6929787288900004E-2</v>
      </c>
      <c r="F388" s="3">
        <f>E388/$K$1</f>
        <v>7.0571200308540971E-3</v>
      </c>
      <c r="G388" s="5">
        <f t="shared" ref="G388:G451" si="13">G387+C388-$K$5*$K$9*SQRT(MAX(0,2*$K$6*(G387-$K$11)))</f>
        <v>101325.04478851931</v>
      </c>
    </row>
    <row r="389" spans="1:7" x14ac:dyDescent="0.25">
      <c r="A389">
        <v>2787</v>
      </c>
      <c r="B389" s="3">
        <v>0</v>
      </c>
      <c r="C389" s="3">
        <f>B389*$K$4</f>
        <v>0</v>
      </c>
      <c r="D389" s="3">
        <f>(E388/$K$1)*$K$2*1</f>
        <v>4.5871280200551631E-4</v>
      </c>
      <c r="E389" s="3">
        <f t="shared" si="12"/>
        <v>5.6471074486894486E-2</v>
      </c>
      <c r="F389" s="3">
        <f>E389/$K$1</f>
        <v>7.0002571571705077E-3</v>
      </c>
      <c r="G389" s="5">
        <f t="shared" si="13"/>
        <v>101325.04426651036</v>
      </c>
    </row>
    <row r="390" spans="1:7" x14ac:dyDescent="0.25">
      <c r="A390">
        <v>2788</v>
      </c>
      <c r="B390" s="3">
        <v>0</v>
      </c>
      <c r="C390" s="3">
        <f>B390*$K$4</f>
        <v>0</v>
      </c>
      <c r="D390" s="3">
        <f>(E389/$K$1)*$K$2*1</f>
        <v>4.5501671521608301E-4</v>
      </c>
      <c r="E390" s="3">
        <f t="shared" si="12"/>
        <v>5.6016057771678403E-2</v>
      </c>
      <c r="F390" s="3">
        <f>E390/$K$1</f>
        <v>6.9438524571313253E-3</v>
      </c>
      <c r="G390" s="5">
        <f t="shared" si="13"/>
        <v>101325.04374755232</v>
      </c>
    </row>
    <row r="391" spans="1:7" x14ac:dyDescent="0.25">
      <c r="A391">
        <v>2789</v>
      </c>
      <c r="B391" s="3">
        <v>0</v>
      </c>
      <c r="C391" s="3">
        <f>B391*$K$4</f>
        <v>0</v>
      </c>
      <c r="D391" s="3">
        <f>(E390/$K$1)*$K$2*1</f>
        <v>4.5135040971353615E-4</v>
      </c>
      <c r="E391" s="3">
        <f t="shared" si="12"/>
        <v>5.5564707361964866E-2</v>
      </c>
      <c r="F391" s="3">
        <f>E391/$K$1</f>
        <v>6.8879022389940333E-3</v>
      </c>
      <c r="G391" s="5">
        <f t="shared" si="13"/>
        <v>101325.04323164525</v>
      </c>
    </row>
    <row r="392" spans="1:7" x14ac:dyDescent="0.25">
      <c r="A392">
        <v>2790</v>
      </c>
      <c r="B392" s="3">
        <v>0</v>
      </c>
      <c r="C392" s="3">
        <f>B392*$K$4</f>
        <v>0</v>
      </c>
      <c r="D392" s="3">
        <f>(E391/$K$1)*$K$2*1</f>
        <v>4.4771364553461218E-4</v>
      </c>
      <c r="E392" s="3">
        <f t="shared" si="12"/>
        <v>5.5116993716430251E-2</v>
      </c>
      <c r="F392" s="3">
        <f>E392/$K$1</f>
        <v>6.8324028407623959E-3</v>
      </c>
      <c r="G392" s="5">
        <f t="shared" si="13"/>
        <v>101325.04271878919</v>
      </c>
    </row>
    <row r="393" spans="1:7" x14ac:dyDescent="0.25">
      <c r="A393">
        <v>2791</v>
      </c>
      <c r="B393" s="3">
        <v>0</v>
      </c>
      <c r="C393" s="3">
        <f>B393*$K$4</f>
        <v>0</v>
      </c>
      <c r="D393" s="3">
        <f>(E392/$K$1)*$K$2*1</f>
        <v>4.4410618464955573E-4</v>
      </c>
      <c r="E393" s="3">
        <f t="shared" si="12"/>
        <v>5.4672887531780692E-2</v>
      </c>
      <c r="F393" s="3">
        <f>E393/$K$1</f>
        <v>6.7773506299467819E-3</v>
      </c>
      <c r="G393" s="5">
        <f t="shared" si="13"/>
        <v>101325.04220898422</v>
      </c>
    </row>
    <row r="394" spans="1:7" x14ac:dyDescent="0.25">
      <c r="A394">
        <v>2792</v>
      </c>
      <c r="B394" s="3">
        <v>0</v>
      </c>
      <c r="C394" s="3">
        <f>B394*$K$4</f>
        <v>0</v>
      </c>
      <c r="D394" s="3">
        <f>(E393/$K$1)*$K$2*1</f>
        <v>4.4052779094654087E-4</v>
      </c>
      <c r="E394" s="3">
        <f t="shared" si="12"/>
        <v>5.4232359740834152E-2</v>
      </c>
      <c r="F394" s="3">
        <f>E394/$K$1</f>
        <v>6.7227420033264098E-3</v>
      </c>
      <c r="G394" s="5">
        <f t="shared" si="13"/>
        <v>101325.04170223037</v>
      </c>
    </row>
    <row r="395" spans="1:7" x14ac:dyDescent="0.25">
      <c r="A395">
        <v>2793</v>
      </c>
      <c r="B395" s="3">
        <v>0</v>
      </c>
      <c r="C395" s="3">
        <f>B395*$K$4</f>
        <v>0</v>
      </c>
      <c r="D395" s="3">
        <f>(E394/$K$1)*$K$2*1</f>
        <v>4.3697823021621667E-4</v>
      </c>
      <c r="E395" s="3">
        <f t="shared" si="12"/>
        <v>5.3795381510617933E-2</v>
      </c>
      <c r="F395" s="3">
        <f>E395/$K$1</f>
        <v>6.6685733867135159E-3</v>
      </c>
      <c r="G395" s="5">
        <f t="shared" si="13"/>
        <v>101325.04119852772</v>
      </c>
    </row>
    <row r="396" spans="1:7" x14ac:dyDescent="0.25">
      <c r="A396">
        <v>2794</v>
      </c>
      <c r="B396" s="3">
        <v>0</v>
      </c>
      <c r="C396" s="3">
        <f>B396*$K$4</f>
        <v>0</v>
      </c>
      <c r="D396" s="3">
        <f>(E395/$K$1)*$K$2*1</f>
        <v>4.3345727013637854E-4</v>
      </c>
      <c r="E396" s="3">
        <f t="shared" si="12"/>
        <v>5.3361924240481556E-2</v>
      </c>
      <c r="F396" s="3">
        <f>E396/$K$1</f>
        <v>6.614841234719419E-3</v>
      </c>
      <c r="G396" s="5">
        <f t="shared" si="13"/>
        <v>101325.04069787631</v>
      </c>
    </row>
    <row r="397" spans="1:7" x14ac:dyDescent="0.25">
      <c r="A397">
        <v>2795</v>
      </c>
      <c r="B397" s="3">
        <v>0</v>
      </c>
      <c r="C397" s="3">
        <f>B397*$K$4</f>
        <v>0</v>
      </c>
      <c r="D397" s="3">
        <f>(E396/$K$1)*$K$2*1</f>
        <v>4.2996468025676223E-4</v>
      </c>
      <c r="E397" s="3">
        <f t="shared" si="12"/>
        <v>5.2931959560224791E-2</v>
      </c>
      <c r="F397" s="3">
        <f>E397/$K$1</f>
        <v>6.5615420305224726E-3</v>
      </c>
      <c r="G397" s="5">
        <f t="shared" si="13"/>
        <v>101325.04020027618</v>
      </c>
    </row>
    <row r="398" spans="1:7" x14ac:dyDescent="0.25">
      <c r="A398">
        <v>2796</v>
      </c>
      <c r="B398" s="3">
        <v>0</v>
      </c>
      <c r="C398" s="3">
        <f>B398*$K$4</f>
        <v>0</v>
      </c>
      <c r="D398" s="3">
        <f>(E397/$K$1)*$K$2*1</f>
        <v>4.2650023198396075E-4</v>
      </c>
      <c r="E398" s="3">
        <f t="shared" si="12"/>
        <v>5.2505459328240828E-2</v>
      </c>
      <c r="F398" s="3">
        <f>E398/$K$1</f>
        <v>6.5086722856378858E-3</v>
      </c>
      <c r="G398" s="5">
        <f t="shared" si="13"/>
        <v>101325.03970572742</v>
      </c>
    </row>
    <row r="399" spans="1:7" x14ac:dyDescent="0.25">
      <c r="A399">
        <v>2797</v>
      </c>
      <c r="B399" s="3">
        <v>0</v>
      </c>
      <c r="C399" s="3">
        <f>B399*$K$4</f>
        <v>0</v>
      </c>
      <c r="D399" s="3">
        <f>(E398/$K$1)*$K$2*1</f>
        <v>4.2306369856646259E-4</v>
      </c>
      <c r="E399" s="3">
        <f t="shared" si="12"/>
        <v>5.2082395629674365E-2</v>
      </c>
      <c r="F399" s="3">
        <f>E399/$K$1</f>
        <v>6.456228539689397E-3</v>
      </c>
      <c r="G399" s="5">
        <f t="shared" si="13"/>
        <v>101325.03921423007</v>
      </c>
    </row>
    <row r="400" spans="1:7" x14ac:dyDescent="0.25">
      <c r="A400">
        <v>2798</v>
      </c>
      <c r="B400" s="3">
        <v>0</v>
      </c>
      <c r="C400" s="3">
        <f>B400*$K$4</f>
        <v>0</v>
      </c>
      <c r="D400" s="3">
        <f>(E399/$K$1)*$K$2*1</f>
        <v>4.1965485507981082E-4</v>
      </c>
      <c r="E400" s="3">
        <f t="shared" si="12"/>
        <v>5.1662740774594554E-2</v>
      </c>
      <c r="F400" s="3">
        <f>E400/$K$1</f>
        <v>6.4042073601827884E-3</v>
      </c>
      <c r="G400" s="5">
        <f t="shared" si="13"/>
        <v>101325.03872578419</v>
      </c>
    </row>
    <row r="401" spans="1:7" x14ac:dyDescent="0.25">
      <c r="A401">
        <v>2799</v>
      </c>
      <c r="B401" s="3">
        <v>0</v>
      </c>
      <c r="C401" s="3">
        <f>B401*$K$4</f>
        <v>0</v>
      </c>
      <c r="D401" s="3">
        <f>(E400/$K$1)*$K$2*1</f>
        <v>4.1627347841188128E-4</v>
      </c>
      <c r="E401" s="3">
        <f t="shared" si="12"/>
        <v>5.1246467296182673E-2</v>
      </c>
      <c r="F401" s="3">
        <f>E401/$K$1</f>
        <v>6.3526053422812284E-3</v>
      </c>
      <c r="G401" s="5">
        <f t="shared" si="13"/>
        <v>101325.03824038985</v>
      </c>
    </row>
    <row r="402" spans="1:7" x14ac:dyDescent="0.25">
      <c r="A402">
        <v>2800</v>
      </c>
      <c r="B402" s="3">
        <v>0</v>
      </c>
      <c r="C402" s="3">
        <f>B402*$K$4</f>
        <v>0</v>
      </c>
      <c r="D402" s="3">
        <f>(E401/$K$1)*$K$2*1</f>
        <v>4.1291934724827986E-4</v>
      </c>
      <c r="E402" s="3">
        <f t="shared" si="12"/>
        <v>5.0833547948934396E-2</v>
      </c>
      <c r="F402" s="3">
        <f>E402/$K$1</f>
        <v>6.3014191085824216E-3</v>
      </c>
      <c r="G402" s="5">
        <f t="shared" si="13"/>
        <v>101325.0377580471</v>
      </c>
    </row>
    <row r="403" spans="1:7" x14ac:dyDescent="0.25">
      <c r="A403">
        <v>2801</v>
      </c>
      <c r="B403" s="3">
        <v>0</v>
      </c>
      <c r="C403" s="3">
        <f>B403*$K$4</f>
        <v>0</v>
      </c>
      <c r="D403" s="3">
        <f>(E402/$K$1)*$K$2*1</f>
        <v>4.0959224205785745E-4</v>
      </c>
      <c r="E403" s="3">
        <f t="shared" si="12"/>
        <v>5.0423955706876536E-2</v>
      </c>
      <c r="F403" s="3">
        <f>E403/$K$1</f>
        <v>6.2506453088975499E-3</v>
      </c>
      <c r="G403" s="5">
        <f t="shared" si="13"/>
        <v>101325.03727875599</v>
      </c>
    </row>
    <row r="404" spans="1:7" x14ac:dyDescent="0.25">
      <c r="A404">
        <v>2802</v>
      </c>
      <c r="B404" s="3">
        <v>0</v>
      </c>
      <c r="C404" s="3">
        <f>B404*$K$4</f>
        <v>0</v>
      </c>
      <c r="D404" s="3">
        <f>(E403/$K$1)*$K$2*1</f>
        <v>4.0629194507834076E-4</v>
      </c>
      <c r="E404" s="3">
        <f t="shared" si="12"/>
        <v>5.0017663761798198E-2</v>
      </c>
      <c r="F404" s="3">
        <f>E404/$K$1</f>
        <v>6.2002806200320065E-3</v>
      </c>
      <c r="G404" s="5">
        <f t="shared" si="13"/>
        <v>101325.03680251661</v>
      </c>
    </row>
    <row r="405" spans="1:7" x14ac:dyDescent="0.25">
      <c r="A405">
        <v>2803</v>
      </c>
      <c r="B405" s="3">
        <v>0</v>
      </c>
      <c r="C405" s="3">
        <f>B405*$K$4</f>
        <v>0</v>
      </c>
      <c r="D405" s="3">
        <f>(E404/$K$1)*$K$2*1</f>
        <v>4.0301824030208042E-4</v>
      </c>
      <c r="E405" s="3">
        <f t="shared" si="12"/>
        <v>4.9614645521496116E-2</v>
      </c>
      <c r="F405" s="3">
        <f>E405/$K$1</f>
        <v>6.1503217455678837E-3</v>
      </c>
      <c r="G405" s="5">
        <f t="shared" si="13"/>
        <v>101325.036329329</v>
      </c>
    </row>
    <row r="406" spans="1:7" x14ac:dyDescent="0.25">
      <c r="A406">
        <v>2804</v>
      </c>
      <c r="B406" s="3">
        <v>0</v>
      </c>
      <c r="C406" s="3">
        <f>B406*$K$4</f>
        <v>0</v>
      </c>
      <c r="D406" s="3">
        <f>(E405/$K$1)*$K$2*1</f>
        <v>3.9977091346191248E-4</v>
      </c>
      <c r="E406" s="3">
        <f t="shared" si="12"/>
        <v>4.9214874608034205E-2</v>
      </c>
      <c r="F406" s="3">
        <f>E406/$K$1</f>
        <v>6.1007654156482218E-3</v>
      </c>
      <c r="G406" s="5">
        <f t="shared" si="13"/>
        <v>101325.03585919323</v>
      </c>
    </row>
    <row r="407" spans="1:7" x14ac:dyDescent="0.25">
      <c r="A407">
        <v>2805</v>
      </c>
      <c r="B407" s="3">
        <v>0</v>
      </c>
      <c r="C407" s="3">
        <f>B407*$K$4</f>
        <v>0</v>
      </c>
      <c r="D407" s="3">
        <f>(E406/$K$1)*$K$2*1</f>
        <v>3.9654975201713444E-4</v>
      </c>
      <c r="E407" s="3">
        <f t="shared" si="12"/>
        <v>4.8818324856017073E-2</v>
      </c>
      <c r="F407" s="3">
        <f>E407/$K$1</f>
        <v>6.051608386762994E-3</v>
      </c>
      <c r="G407" s="5">
        <f t="shared" si="13"/>
        <v>101325.03539210938</v>
      </c>
    </row>
    <row r="408" spans="1:7" x14ac:dyDescent="0.25">
      <c r="A408">
        <v>2806</v>
      </c>
      <c r="B408" s="3">
        <v>0</v>
      </c>
      <c r="C408" s="3">
        <f>B408*$K$4</f>
        <v>0</v>
      </c>
      <c r="D408" s="3">
        <f>(E407/$K$1)*$K$2*1</f>
        <v>3.933545451395946E-4</v>
      </c>
      <c r="E408" s="3">
        <f t="shared" si="12"/>
        <v>4.8424970310877481E-2</v>
      </c>
      <c r="F408" s="3">
        <f>E408/$K$1</f>
        <v>6.0028474415368144E-3</v>
      </c>
      <c r="G408" s="5">
        <f t="shared" si="13"/>
        <v>101325.03492807748</v>
      </c>
    </row>
    <row r="409" spans="1:7" x14ac:dyDescent="0.25">
      <c r="A409">
        <v>2807</v>
      </c>
      <c r="B409" s="3">
        <v>0</v>
      </c>
      <c r="C409" s="3">
        <f>B409*$K$4</f>
        <v>0</v>
      </c>
      <c r="D409" s="3">
        <f>(E408/$K$1)*$K$2*1</f>
        <v>3.9018508369989297E-4</v>
      </c>
      <c r="E409" s="3">
        <f t="shared" si="12"/>
        <v>4.8034785227177586E-2</v>
      </c>
      <c r="F409" s="3">
        <f>E409/$K$1</f>
        <v>5.9544793885183567E-3</v>
      </c>
      <c r="G409" s="5">
        <f t="shared" si="13"/>
        <v>101325.03446709763</v>
      </c>
    </row>
    <row r="410" spans="1:7" x14ac:dyDescent="0.25">
      <c r="A410">
        <v>2808</v>
      </c>
      <c r="B410" s="3">
        <v>0</v>
      </c>
      <c r="C410" s="3">
        <f>B410*$K$4</f>
        <v>0</v>
      </c>
      <c r="D410" s="3">
        <f>(E409/$K$1)*$K$2*1</f>
        <v>3.8704116025369321E-4</v>
      </c>
      <c r="E410" s="3">
        <f t="shared" si="12"/>
        <v>4.7647744066923896E-2</v>
      </c>
      <c r="F410" s="3">
        <f>E410/$K$1</f>
        <v>5.9065010619714755E-3</v>
      </c>
      <c r="G410" s="5">
        <f t="shared" si="13"/>
        <v>101325.03400916989</v>
      </c>
    </row>
    <row r="411" spans="1:7" x14ac:dyDescent="0.25">
      <c r="A411">
        <v>2809</v>
      </c>
      <c r="B411" s="3">
        <v>0</v>
      </c>
      <c r="C411" s="3">
        <f>B411*$K$4</f>
        <v>0</v>
      </c>
      <c r="D411" s="3">
        <f>(E410/$K$1)*$K$2*1</f>
        <v>3.8392256902814592E-4</v>
      </c>
      <c r="E411" s="3">
        <f t="shared" si="12"/>
        <v>4.726382149789575E-2</v>
      </c>
      <c r="F411" s="3">
        <f>E411/$K$1</f>
        <v>5.8589093216679993E-3</v>
      </c>
      <c r="G411" s="5">
        <f t="shared" si="13"/>
        <v>101325.03355429431</v>
      </c>
    </row>
    <row r="412" spans="1:7" x14ac:dyDescent="0.25">
      <c r="A412">
        <v>2810</v>
      </c>
      <c r="B412" s="3">
        <v>0</v>
      </c>
      <c r="C412" s="3">
        <f>B412*$K$4</f>
        <v>0</v>
      </c>
      <c r="D412" s="3">
        <f>(E411/$K$1)*$K$2*1</f>
        <v>3.8082910590841996E-4</v>
      </c>
      <c r="E412" s="3">
        <f t="shared" si="12"/>
        <v>4.688299239198733E-2</v>
      </c>
      <c r="F412" s="3">
        <f>E412/$K$1</f>
        <v>5.8117010526822031E-3</v>
      </c>
      <c r="G412" s="5">
        <f t="shared" si="13"/>
        <v>101325.03310247097</v>
      </c>
    </row>
    <row r="413" spans="1:7" x14ac:dyDescent="0.25">
      <c r="A413">
        <v>2811</v>
      </c>
      <c r="B413" s="3">
        <v>0</v>
      </c>
      <c r="C413" s="3">
        <f>B413*$K$4</f>
        <v>0</v>
      </c>
      <c r="D413" s="3">
        <f>(E412/$K$1)*$K$2*1</f>
        <v>3.7776056842434323E-4</v>
      </c>
      <c r="E413" s="3">
        <f t="shared" si="12"/>
        <v>4.650523182356299E-2</v>
      </c>
      <c r="F413" s="3">
        <f>E413/$K$1</f>
        <v>5.7648731651869329E-3</v>
      </c>
      <c r="G413" s="5">
        <f t="shared" si="13"/>
        <v>101325.03265369995</v>
      </c>
    </row>
    <row r="414" spans="1:7" x14ac:dyDescent="0.25">
      <c r="A414">
        <v>2812</v>
      </c>
      <c r="B414" s="3">
        <v>0</v>
      </c>
      <c r="C414" s="3">
        <f>B414*$K$4</f>
        <v>0</v>
      </c>
      <c r="D414" s="3">
        <f>(E413/$K$1)*$K$2*1</f>
        <v>3.7471675573715063E-4</v>
      </c>
      <c r="E414" s="3">
        <f t="shared" si="12"/>
        <v>4.6130515067825839E-2</v>
      </c>
      <c r="F414" s="3">
        <f>E414/$K$1</f>
        <v>5.7184225942513746E-3</v>
      </c>
      <c r="G414" s="5">
        <f t="shared" si="13"/>
        <v>101325.0322079813</v>
      </c>
    </row>
    <row r="415" spans="1:7" x14ac:dyDescent="0.25">
      <c r="A415">
        <v>2813</v>
      </c>
      <c r="B415" s="3">
        <v>0</v>
      </c>
      <c r="C415" s="3">
        <f>B415*$K$4</f>
        <v>0</v>
      </c>
      <c r="D415" s="3">
        <f>(E414/$K$1)*$K$2*1</f>
        <v>3.7169746862633938E-4</v>
      </c>
      <c r="E415" s="3">
        <f t="shared" si="12"/>
        <v>4.5758817599199503E-2</v>
      </c>
      <c r="F415" s="3">
        <f>E415/$K$1</f>
        <v>5.6723462996404487E-3</v>
      </c>
      <c r="G415" s="5">
        <f t="shared" si="13"/>
        <v>101325.03176531511</v>
      </c>
    </row>
    <row r="416" spans="1:7" x14ac:dyDescent="0.25">
      <c r="A416">
        <v>2814</v>
      </c>
      <c r="B416" s="3">
        <v>0</v>
      </c>
      <c r="C416" s="3">
        <f>B416*$K$4</f>
        <v>0</v>
      </c>
      <c r="D416" s="3">
        <f>(E415/$K$1)*$K$2*1</f>
        <v>3.6870250947662917E-4</v>
      </c>
      <c r="E416" s="3">
        <f t="shared" si="12"/>
        <v>4.5390115089722877E-2</v>
      </c>
      <c r="F416" s="3">
        <f>E416/$K$1</f>
        <v>5.626641265615827E-3</v>
      </c>
      <c r="G416" s="5">
        <f t="shared" si="13"/>
        <v>101325.03132570145</v>
      </c>
    </row>
    <row r="417" spans="1:7" x14ac:dyDescent="0.25">
      <c r="A417">
        <v>2815</v>
      </c>
      <c r="B417" s="3">
        <v>0</v>
      </c>
      <c r="C417" s="3">
        <f>B417*$K$4</f>
        <v>0</v>
      </c>
      <c r="D417" s="3">
        <f>(E416/$K$1)*$K$2*1</f>
        <v>3.6573168226502876E-4</v>
      </c>
      <c r="E417" s="3">
        <f t="shared" si="12"/>
        <v>4.5024383407457846E-2</v>
      </c>
      <c r="F417" s="3">
        <f>E417/$K$1</f>
        <v>5.5813045007385457E-3</v>
      </c>
      <c r="G417" s="5">
        <f t="shared" si="13"/>
        <v>101325.03088914038</v>
      </c>
    </row>
    <row r="418" spans="1:7" x14ac:dyDescent="0.25">
      <c r="A418">
        <v>2816</v>
      </c>
      <c r="B418" s="3">
        <v>0</v>
      </c>
      <c r="C418" s="3">
        <f>B418*$K$4</f>
        <v>0</v>
      </c>
      <c r="D418" s="3">
        <f>(E417/$K$1)*$K$2*1</f>
        <v>3.6278479254800547E-4</v>
      </c>
      <c r="E418" s="3">
        <f t="shared" si="12"/>
        <v>4.4661598614909842E-2</v>
      </c>
      <c r="F418" s="3">
        <f>E418/$K$1</f>
        <v>5.536333037673217E-3</v>
      </c>
      <c r="G418" s="5">
        <f t="shared" si="13"/>
        <v>101325.03045563199</v>
      </c>
    </row>
    <row r="419" spans="1:7" x14ac:dyDescent="0.25">
      <c r="A419">
        <v>2817</v>
      </c>
      <c r="B419" s="3">
        <v>0</v>
      </c>
      <c r="C419" s="3">
        <f>B419*$K$4</f>
        <v>0</v>
      </c>
      <c r="D419" s="3">
        <f>(E418/$K$1)*$K$2*1</f>
        <v>3.598616474487591E-4</v>
      </c>
      <c r="E419" s="3">
        <f t="shared" si="12"/>
        <v>4.4301736967461085E-2</v>
      </c>
      <c r="F419" s="3">
        <f>E419/$K$1</f>
        <v>5.491723932993812E-3</v>
      </c>
      <c r="G419" s="5">
        <f t="shared" si="13"/>
        <v>101325.03002517634</v>
      </c>
    </row>
    <row r="420" spans="1:7" x14ac:dyDescent="0.25">
      <c r="A420">
        <v>2818</v>
      </c>
      <c r="B420" s="3">
        <v>0</v>
      </c>
      <c r="C420" s="3">
        <f>B420*$K$4</f>
        <v>0</v>
      </c>
      <c r="D420" s="3">
        <f>(E419/$K$1)*$K$2*1</f>
        <v>3.5696205564459782E-4</v>
      </c>
      <c r="E420" s="3">
        <f t="shared" si="12"/>
        <v>4.3944774911816489E-2</v>
      </c>
      <c r="F420" s="3">
        <f>E420/$K$1</f>
        <v>5.4474742669910117E-3</v>
      </c>
      <c r="G420" s="5">
        <f t="shared" si="13"/>
        <v>101325.02959777352</v>
      </c>
    </row>
    <row r="421" spans="1:7" x14ac:dyDescent="0.25">
      <c r="A421">
        <v>2819</v>
      </c>
      <c r="B421" s="3">
        <v>0</v>
      </c>
      <c r="C421" s="3">
        <f>B421*$K$4</f>
        <v>0</v>
      </c>
      <c r="D421" s="3">
        <f>(E420/$K$1)*$K$2*1</f>
        <v>3.5408582735441579E-4</v>
      </c>
      <c r="E421" s="3">
        <f t="shared" si="12"/>
        <v>4.3590689084462071E-2</v>
      </c>
      <c r="F421" s="3">
        <f>E421/$K$1</f>
        <v>5.4035811434811048E-3</v>
      </c>
      <c r="G421" s="5">
        <f t="shared" si="13"/>
        <v>101325.02917342361</v>
      </c>
    </row>
    <row r="422" spans="1:7" x14ac:dyDescent="0.25">
      <c r="A422">
        <v>2820</v>
      </c>
      <c r="B422" s="3">
        <v>0</v>
      </c>
      <c r="C422" s="3">
        <f>B422*$K$4</f>
        <v>0</v>
      </c>
      <c r="D422" s="3">
        <f>(E421/$K$1)*$K$2*1</f>
        <v>3.5123277432627182E-4</v>
      </c>
      <c r="E422" s="3">
        <f t="shared" si="12"/>
        <v>4.3239456310135801E-2</v>
      </c>
      <c r="F422" s="3">
        <f>E422/$K$1</f>
        <v>5.3600416896164372E-3</v>
      </c>
      <c r="G422" s="5">
        <f t="shared" si="13"/>
        <v>101325.02875212667</v>
      </c>
    </row>
    <row r="423" spans="1:7" x14ac:dyDescent="0.25">
      <c r="A423">
        <v>2821</v>
      </c>
      <c r="B423" s="3">
        <v>0</v>
      </c>
      <c r="C423" s="3">
        <f>B423*$K$4</f>
        <v>0</v>
      </c>
      <c r="D423" s="3">
        <f>(E422/$K$1)*$K$2*1</f>
        <v>3.4840270982506845E-4</v>
      </c>
      <c r="E423" s="3">
        <f t="shared" si="12"/>
        <v>4.289105360031073E-2</v>
      </c>
      <c r="F423" s="3">
        <f>E423/$K$1</f>
        <v>5.3168530556973754E-3</v>
      </c>
      <c r="G423" s="5">
        <f t="shared" si="13"/>
        <v>101325.0283338828</v>
      </c>
    </row>
    <row r="424" spans="1:7" x14ac:dyDescent="0.25">
      <c r="A424">
        <v>2822</v>
      </c>
      <c r="B424" s="3">
        <v>0</v>
      </c>
      <c r="C424" s="3">
        <f>B424*$K$4</f>
        <v>0</v>
      </c>
      <c r="D424" s="3">
        <f>(E423/$K$1)*$K$2*1</f>
        <v>3.4559544862032939E-4</v>
      </c>
      <c r="E424" s="3">
        <f t="shared" si="12"/>
        <v>4.2545458151690398E-2</v>
      </c>
      <c r="F424" s="3">
        <f>E424/$K$1</f>
        <v>5.2740124149857938E-3</v>
      </c>
      <c r="G424" s="5">
        <f t="shared" si="13"/>
        <v>101325.02791869207</v>
      </c>
    </row>
    <row r="425" spans="1:7" x14ac:dyDescent="0.25">
      <c r="A425">
        <v>2823</v>
      </c>
      <c r="B425" s="3">
        <v>0</v>
      </c>
      <c r="C425" s="3">
        <f>B425*$K$4</f>
        <v>0</v>
      </c>
      <c r="D425" s="3">
        <f>(E424/$K$1)*$K$2*1</f>
        <v>3.4281080697407662E-4</v>
      </c>
      <c r="E425" s="3">
        <f t="shared" si="12"/>
        <v>4.2202647344716321E-2</v>
      </c>
      <c r="F425" s="3">
        <f>E425/$K$1</f>
        <v>5.2315169635200592E-3</v>
      </c>
      <c r="G425" s="5">
        <f t="shared" si="13"/>
        <v>101325.02750655456</v>
      </c>
    </row>
    <row r="426" spans="1:7" x14ac:dyDescent="0.25">
      <c r="A426">
        <v>2824</v>
      </c>
      <c r="B426" s="3">
        <v>0</v>
      </c>
      <c r="C426" s="3">
        <f>B426*$K$4</f>
        <v>0</v>
      </c>
      <c r="D426" s="3">
        <f>(E425/$K$1)*$K$2*1</f>
        <v>3.4004860262880387E-4</v>
      </c>
      <c r="E426" s="3">
        <f t="shared" si="12"/>
        <v>4.1862598742087517E-2</v>
      </c>
      <c r="F426" s="3">
        <f>E426/$K$1</f>
        <v>5.1893639199315127E-3</v>
      </c>
      <c r="G426" s="5">
        <f t="shared" si="13"/>
        <v>101325.02709747036</v>
      </c>
    </row>
    <row r="427" spans="1:7" x14ac:dyDescent="0.25">
      <c r="A427">
        <v>2825</v>
      </c>
      <c r="B427" s="3">
        <v>0</v>
      </c>
      <c r="C427" s="3">
        <f>B427*$K$4</f>
        <v>0</v>
      </c>
      <c r="D427" s="3">
        <f>(E426/$K$1)*$K$2*1</f>
        <v>3.3730865479554833E-4</v>
      </c>
      <c r="E427" s="3">
        <f t="shared" si="12"/>
        <v>4.1525290087291972E-2</v>
      </c>
      <c r="F427" s="3">
        <f>E427/$K$1</f>
        <v>5.1475505252624237E-3</v>
      </c>
      <c r="G427" s="5">
        <f t="shared" si="13"/>
        <v>101325.02669143956</v>
      </c>
    </row>
    <row r="428" spans="1:7" x14ac:dyDescent="0.25">
      <c r="A428">
        <v>2826</v>
      </c>
      <c r="B428" s="3">
        <v>0</v>
      </c>
      <c r="C428" s="3">
        <f>B428*$K$4</f>
        <v>0</v>
      </c>
      <c r="D428" s="3">
        <f>(E427/$K$1)*$K$2*1</f>
        <v>3.3459078414205755E-4</v>
      </c>
      <c r="E428" s="3">
        <f t="shared" si="12"/>
        <v>4.1190699303149912E-2</v>
      </c>
      <c r="F428" s="3">
        <f>E428/$K$1</f>
        <v>5.106074042785411E-3</v>
      </c>
      <c r="G428" s="5">
        <f t="shared" si="13"/>
        <v>101325.02628846225</v>
      </c>
    </row>
    <row r="429" spans="1:7" x14ac:dyDescent="0.25">
      <c r="A429">
        <v>2827</v>
      </c>
      <c r="B429" s="3">
        <v>0</v>
      </c>
      <c r="C429" s="3">
        <f>B429*$K$4</f>
        <v>0</v>
      </c>
      <c r="D429" s="3">
        <f>(E428/$K$1)*$K$2*1</f>
        <v>3.3189481278105172E-4</v>
      </c>
      <c r="E429" s="3">
        <f t="shared" si="12"/>
        <v>4.0858804490368862E-2</v>
      </c>
      <c r="F429" s="3">
        <f>E429/$K$1</f>
        <v>5.0649317578243293E-3</v>
      </c>
      <c r="G429" s="5">
        <f t="shared" si="13"/>
        <v>101325.0258885385</v>
      </c>
    </row>
    <row r="430" spans="1:7" x14ac:dyDescent="0.25">
      <c r="A430">
        <v>2828</v>
      </c>
      <c r="B430" s="3">
        <v>0</v>
      </c>
      <c r="C430" s="3">
        <f>B430*$K$4</f>
        <v>0</v>
      </c>
      <c r="D430" s="3">
        <f>(E429/$K$1)*$K$2*1</f>
        <v>3.292205642585814E-4</v>
      </c>
      <c r="E430" s="3">
        <f t="shared" si="12"/>
        <v>4.052958392611028E-2</v>
      </c>
      <c r="F430" s="3">
        <f>E430/$K$1</f>
        <v>5.0241209775765813E-3</v>
      </c>
      <c r="G430" s="5">
        <f t="shared" si="13"/>
        <v>101325.02549166841</v>
      </c>
    </row>
    <row r="431" spans="1:7" x14ac:dyDescent="0.25">
      <c r="A431">
        <v>2829</v>
      </c>
      <c r="B431" s="3">
        <v>0</v>
      </c>
      <c r="C431" s="3">
        <f>B431*$K$4</f>
        <v>0</v>
      </c>
      <c r="D431" s="3">
        <f>(E430/$K$1)*$K$2*1</f>
        <v>3.2656786354247781E-4</v>
      </c>
      <c r="E431" s="3">
        <f t="shared" si="12"/>
        <v>4.0203016062567799E-2</v>
      </c>
      <c r="F431" s="3">
        <f>E431/$K$1</f>
        <v>4.9836390309368787E-3</v>
      </c>
      <c r="G431" s="5">
        <f t="shared" si="13"/>
        <v>101325.02509785206</v>
      </c>
    </row>
    <row r="432" spans="1:7" x14ac:dyDescent="0.25">
      <c r="A432">
        <v>2830</v>
      </c>
      <c r="B432" s="3">
        <v>0</v>
      </c>
      <c r="C432" s="3">
        <f>B432*$K$4</f>
        <v>0</v>
      </c>
      <c r="D432" s="3">
        <f>(E431/$K$1)*$K$2*1</f>
        <v>3.239365370108971E-4</v>
      </c>
      <c r="E432" s="3">
        <f t="shared" si="12"/>
        <v>3.9879079525556901E-2</v>
      </c>
      <c r="F432" s="3">
        <f>E432/$K$1</f>
        <v>4.9434832683224123E-3</v>
      </c>
      <c r="G432" s="5">
        <f t="shared" si="13"/>
        <v>101325.02470708956</v>
      </c>
    </row>
    <row r="433" spans="1:7" x14ac:dyDescent="0.25">
      <c r="A433">
        <v>2831</v>
      </c>
      <c r="B433" s="3">
        <v>0</v>
      </c>
      <c r="C433" s="3">
        <f>B433*$K$4</f>
        <v>0</v>
      </c>
      <c r="D433" s="3">
        <f>(E432/$K$1)*$K$2*1</f>
        <v>3.213264124409568E-4</v>
      </c>
      <c r="E433" s="3">
        <f t="shared" si="12"/>
        <v>3.9557753113115941E-2</v>
      </c>
      <c r="F433" s="3">
        <f>E433/$K$1</f>
        <v>4.9036510614994351E-3</v>
      </c>
      <c r="G433" s="5">
        <f t="shared" si="13"/>
        <v>101325.02431938099</v>
      </c>
    </row>
    <row r="434" spans="1:7" x14ac:dyDescent="0.25">
      <c r="A434">
        <v>2832</v>
      </c>
      <c r="B434" s="3">
        <v>0</v>
      </c>
      <c r="C434" s="3">
        <f>B434*$K$4</f>
        <v>0</v>
      </c>
      <c r="D434" s="3">
        <f>(E433/$K$1)*$K$2*1</f>
        <v>3.187373189974633E-4</v>
      </c>
      <c r="E434" s="3">
        <f t="shared" si="12"/>
        <v>3.9239015794118481E-2</v>
      </c>
      <c r="F434" s="3">
        <f>E434/$K$1</f>
        <v>4.8641398034112411E-3</v>
      </c>
      <c r="G434" s="5">
        <f t="shared" si="13"/>
        <v>101325.02393472644</v>
      </c>
    </row>
    <row r="435" spans="1:7" x14ac:dyDescent="0.25">
      <c r="A435">
        <v>2833</v>
      </c>
      <c r="B435" s="3">
        <v>0</v>
      </c>
      <c r="C435" s="3">
        <f>B435*$K$4</f>
        <v>0</v>
      </c>
      <c r="D435" s="3">
        <f>(E434/$K$1)*$K$2*1</f>
        <v>3.1616908722173069E-4</v>
      </c>
      <c r="E435" s="3">
        <f t="shared" si="12"/>
        <v>3.8922846706896753E-2</v>
      </c>
      <c r="F435" s="3">
        <f>E435/$K$1</f>
        <v>4.8249469080075312E-3</v>
      </c>
      <c r="G435" s="5">
        <f t="shared" si="13"/>
        <v>101325.02355312603</v>
      </c>
    </row>
    <row r="436" spans="1:7" x14ac:dyDescent="0.25">
      <c r="A436">
        <v>2834</v>
      </c>
      <c r="B436" s="3">
        <v>0</v>
      </c>
      <c r="C436" s="3">
        <f>B436*$K$4</f>
        <v>0</v>
      </c>
      <c r="D436" s="3">
        <f>(E435/$K$1)*$K$2*1</f>
        <v>3.1362154902048954E-4</v>
      </c>
      <c r="E436" s="3">
        <f t="shared" si="12"/>
        <v>3.8609225157876265E-2</v>
      </c>
      <c r="F436" s="3">
        <f>E436/$K$1</f>
        <v>4.7860698100751532E-3</v>
      </c>
      <c r="G436" s="5">
        <f t="shared" si="13"/>
        <v>101325.02317457984</v>
      </c>
    </row>
    <row r="437" spans="1:7" x14ac:dyDescent="0.25">
      <c r="A437">
        <v>2835</v>
      </c>
      <c r="B437" s="3">
        <v>0</v>
      </c>
      <c r="C437" s="3">
        <f>B437*$K$4</f>
        <v>0</v>
      </c>
      <c r="D437" s="3">
        <f>(E436/$K$1)*$K$2*1</f>
        <v>3.1109453765488496E-4</v>
      </c>
      <c r="E437" s="3">
        <f t="shared" si="12"/>
        <v>3.8298130620221381E-2</v>
      </c>
      <c r="F437" s="3">
        <f>E437/$K$1</f>
        <v>4.7475059650702095E-3</v>
      </c>
      <c r="G437" s="5">
        <f t="shared" si="13"/>
        <v>101325.02279908796</v>
      </c>
    </row>
    <row r="438" spans="1:7" x14ac:dyDescent="0.25">
      <c r="A438">
        <v>2836</v>
      </c>
      <c r="B438" s="3">
        <v>0</v>
      </c>
      <c r="C438" s="3">
        <f>B438*$K$4</f>
        <v>0</v>
      </c>
      <c r="D438" s="3">
        <f>(E437/$K$1)*$K$2*1</f>
        <v>3.0858788772956361E-4</v>
      </c>
      <c r="E438" s="3">
        <f t="shared" si="12"/>
        <v>3.7989542732491818E-2</v>
      </c>
      <c r="F438" s="3">
        <f>E438/$K$1</f>
        <v>4.7092528489515086E-3</v>
      </c>
      <c r="G438" s="5">
        <f t="shared" si="13"/>
        <v>101325.02242665052</v>
      </c>
    </row>
    <row r="439" spans="1:7" x14ac:dyDescent="0.25">
      <c r="A439">
        <v>2837</v>
      </c>
      <c r="B439" s="3">
        <v>0</v>
      </c>
      <c r="C439" s="3">
        <f>B439*$K$4</f>
        <v>0</v>
      </c>
      <c r="D439" s="3">
        <f>(E438/$K$1)*$K$2*1</f>
        <v>3.0610143518184805E-4</v>
      </c>
      <c r="E439" s="3">
        <f t="shared" si="12"/>
        <v>3.7683441297309973E-2</v>
      </c>
      <c r="F439" s="3">
        <f>E439/$K$1</f>
        <v>4.671307958015368E-3</v>
      </c>
      <c r="G439" s="5">
        <f t="shared" si="13"/>
        <v>101325.0220572676</v>
      </c>
    </row>
    <row r="440" spans="1:7" x14ac:dyDescent="0.25">
      <c r="A440">
        <v>2838</v>
      </c>
      <c r="B440" s="3">
        <v>0</v>
      </c>
      <c r="C440" s="3">
        <f>B440*$K$4</f>
        <v>0</v>
      </c>
      <c r="D440" s="3">
        <f>(E439/$K$1)*$K$2*1</f>
        <v>3.0363501727099894E-4</v>
      </c>
      <c r="E440" s="3">
        <f t="shared" si="12"/>
        <v>3.7379806280038973E-2</v>
      </c>
      <c r="F440" s="3">
        <f>E440/$K$1</f>
        <v>4.6336688087317435E-3</v>
      </c>
      <c r="G440" s="5">
        <f t="shared" si="13"/>
        <v>101325.02169093932</v>
      </c>
    </row>
    <row r="441" spans="1:7" x14ac:dyDescent="0.25">
      <c r="A441">
        <v>2839</v>
      </c>
      <c r="B441" s="3">
        <v>0</v>
      </c>
      <c r="C441" s="3">
        <f>B441*$K$4</f>
        <v>0</v>
      </c>
      <c r="D441" s="3">
        <f>(E440/$K$1)*$K$2*1</f>
        <v>3.0118847256756335E-4</v>
      </c>
      <c r="E441" s="3">
        <f t="shared" si="12"/>
        <v>3.707861780747141E-2</v>
      </c>
      <c r="F441" s="3">
        <f>E441/$K$1</f>
        <v>4.5963329375816797E-3</v>
      </c>
      <c r="G441" s="5">
        <f t="shared" si="13"/>
        <v>101325.02132766576</v>
      </c>
    </row>
    <row r="442" spans="1:7" x14ac:dyDescent="0.25">
      <c r="A442">
        <v>2840</v>
      </c>
      <c r="B442" s="3">
        <v>0</v>
      </c>
      <c r="C442" s="3">
        <f>B442*$K$4</f>
        <v>0</v>
      </c>
      <c r="D442" s="3">
        <f>(E441/$K$1)*$K$2*1</f>
        <v>2.9876164094280917E-4</v>
      </c>
      <c r="E442" s="3">
        <f t="shared" si="12"/>
        <v>3.6779856166528603E-2</v>
      </c>
      <c r="F442" s="3">
        <f>E442/$K$1</f>
        <v>4.5592979008960708E-3</v>
      </c>
      <c r="G442" s="5">
        <f t="shared" si="13"/>
        <v>101325.02096744705</v>
      </c>
    </row>
    <row r="443" spans="1:7" x14ac:dyDescent="0.25">
      <c r="A443">
        <v>2841</v>
      </c>
      <c r="B443" s="3">
        <v>0</v>
      </c>
      <c r="C443" s="3">
        <f>B443*$K$4</f>
        <v>0</v>
      </c>
      <c r="D443" s="3">
        <f>(E442/$K$1)*$K$2*1</f>
        <v>2.9635436355824463E-4</v>
      </c>
      <c r="E443" s="3">
        <f t="shared" si="12"/>
        <v>3.6483501802970358E-2</v>
      </c>
      <c r="F443" s="3">
        <f>E443/$K$1</f>
        <v>4.522561274695718E-3</v>
      </c>
      <c r="G443" s="5">
        <f t="shared" si="13"/>
        <v>101325.0206102833</v>
      </c>
    </row>
    <row r="444" spans="1:7" x14ac:dyDescent="0.25">
      <c r="A444">
        <v>2842</v>
      </c>
      <c r="B444" s="3">
        <v>0</v>
      </c>
      <c r="C444" s="3">
        <f>B444*$K$4</f>
        <v>0</v>
      </c>
      <c r="D444" s="3">
        <f>(E443/$K$1)*$K$2*1</f>
        <v>2.9396648285522168E-4</v>
      </c>
      <c r="E444" s="3">
        <f t="shared" si="12"/>
        <v>3.6189535320115138E-2</v>
      </c>
      <c r="F444" s="3">
        <f>E444/$K$1</f>
        <v>4.4861206545326812E-3</v>
      </c>
      <c r="G444" s="5">
        <f t="shared" si="13"/>
        <v>101325.02025617461</v>
      </c>
    </row>
    <row r="445" spans="1:7" x14ac:dyDescent="0.25">
      <c r="A445">
        <v>2843</v>
      </c>
      <c r="B445" s="3">
        <v>0</v>
      </c>
      <c r="C445" s="3">
        <f>B445*$K$4</f>
        <v>0</v>
      </c>
      <c r="D445" s="3">
        <f>(E444/$K$1)*$K$2*1</f>
        <v>2.9159784254462429E-4</v>
      </c>
      <c r="E445" s="3">
        <f t="shared" si="12"/>
        <v>3.5897937477570516E-2</v>
      </c>
      <c r="F445" s="3">
        <f>E445/$K$1</f>
        <v>4.4499736553329011E-3</v>
      </c>
      <c r="G445" s="5">
        <f t="shared" si="13"/>
        <v>101325.01990512111</v>
      </c>
    </row>
    <row r="446" spans="1:7" x14ac:dyDescent="0.25">
      <c r="A446">
        <v>2844</v>
      </c>
      <c r="B446" s="3">
        <v>0</v>
      </c>
      <c r="C446" s="3">
        <f>B446*$K$4</f>
        <v>0</v>
      </c>
      <c r="D446" s="3">
        <f>(E445/$K$1)*$K$2*1</f>
        <v>2.8924828759663859E-4</v>
      </c>
      <c r="E446" s="3">
        <f t="shared" si="12"/>
        <v>3.5608689189973876E-2</v>
      </c>
      <c r="F446" s="3">
        <f>E446/$K$1</f>
        <v>4.4141179112400985E-3</v>
      </c>
      <c r="G446" s="5">
        <f t="shared" si="13"/>
        <v>101325.0195571229</v>
      </c>
    </row>
    <row r="447" spans="1:7" x14ac:dyDescent="0.25">
      <c r="A447">
        <v>2845</v>
      </c>
      <c r="B447" s="3">
        <v>0</v>
      </c>
      <c r="C447" s="3">
        <f>B447*$K$4</f>
        <v>0</v>
      </c>
      <c r="D447" s="3">
        <f>(E446/$K$1)*$K$2*1</f>
        <v>2.8691766423060642E-4</v>
      </c>
      <c r="E447" s="3">
        <f t="shared" si="12"/>
        <v>3.532177152574327E-2</v>
      </c>
      <c r="F447" s="3">
        <f>E447/$K$1</f>
        <v>4.3785510754609236E-3</v>
      </c>
      <c r="G447" s="5">
        <f t="shared" si="13"/>
        <v>101325.01921218009</v>
      </c>
    </row>
    <row r="448" spans="1:7" x14ac:dyDescent="0.25">
      <c r="A448">
        <v>2846</v>
      </c>
      <c r="B448" s="3">
        <v>0</v>
      </c>
      <c r="C448" s="3">
        <f>B448*$K$4</f>
        <v>0</v>
      </c>
      <c r="D448" s="3">
        <f>(E447/$K$1)*$K$2*1</f>
        <v>2.8460581990496006E-4</v>
      </c>
      <c r="E448" s="3">
        <f t="shared" si="12"/>
        <v>3.5037165705838313E-2</v>
      </c>
      <c r="F448" s="3">
        <f>E448/$K$1</f>
        <v>4.3432708201113562E-3</v>
      </c>
      <c r="G448" s="5">
        <f t="shared" si="13"/>
        <v>101325.01887029283</v>
      </c>
    </row>
    <row r="449" spans="1:7" x14ac:dyDescent="0.25">
      <c r="A449">
        <v>2847</v>
      </c>
      <c r="B449" s="3">
        <v>0</v>
      </c>
      <c r="C449" s="3">
        <f>B449*$K$4</f>
        <v>0</v>
      </c>
      <c r="D449" s="3">
        <f>(E448/$K$1)*$K$2*1</f>
        <v>2.8231260330723816E-4</v>
      </c>
      <c r="E449" s="3">
        <f t="shared" si="12"/>
        <v>3.4754853102531076E-2</v>
      </c>
      <c r="F449" s="3">
        <f>E449/$K$1</f>
        <v>4.3082748360643453E-3</v>
      </c>
      <c r="G449" s="5">
        <f t="shared" si="13"/>
        <v>101325.01853146122</v>
      </c>
    </row>
    <row r="450" spans="1:7" x14ac:dyDescent="0.25">
      <c r="A450">
        <v>2848</v>
      </c>
      <c r="B450" s="3">
        <v>0</v>
      </c>
      <c r="C450" s="3">
        <f>B450*$K$4</f>
        <v>0</v>
      </c>
      <c r="D450" s="3">
        <f>(E449/$K$1)*$K$2*1</f>
        <v>2.8003786434418245E-4</v>
      </c>
      <c r="E450" s="3">
        <f t="shared" si="12"/>
        <v>3.4474815238186893E-2</v>
      </c>
      <c r="F450" s="3">
        <f>E450/$K$1</f>
        <v>4.2735608327986729E-3</v>
      </c>
      <c r="G450" s="5">
        <f t="shared" si="13"/>
        <v>101325.01819568538</v>
      </c>
    </row>
    <row r="451" spans="1:7" x14ac:dyDescent="0.25">
      <c r="A451">
        <v>2849</v>
      </c>
      <c r="B451" s="3">
        <v>0</v>
      </c>
      <c r="C451" s="3">
        <f>B451*$K$4</f>
        <v>0</v>
      </c>
      <c r="D451" s="3">
        <f>(E450/$K$1)*$K$2*1</f>
        <v>2.7778145413191377E-4</v>
      </c>
      <c r="E451" s="3">
        <f t="shared" si="12"/>
        <v>3.4197033784054982E-2</v>
      </c>
      <c r="F451" s="3">
        <f>E451/$K$1</f>
        <v>4.2391265382490367E-3</v>
      </c>
      <c r="G451" s="5">
        <f t="shared" si="13"/>
        <v>101325.01786296545</v>
      </c>
    </row>
    <row r="452" spans="1:7" x14ac:dyDescent="0.25">
      <c r="A452">
        <v>2850</v>
      </c>
      <c r="B452" s="3">
        <v>0</v>
      </c>
      <c r="C452" s="3">
        <f>B452*$K$4</f>
        <v>0</v>
      </c>
      <c r="D452" s="3">
        <f>(E451/$K$1)*$K$2*1</f>
        <v>2.755432249861874E-4</v>
      </c>
      <c r="E452" s="3">
        <f t="shared" ref="E452:E515" si="14">E451+C452-D452</f>
        <v>3.3921490559068797E-2</v>
      </c>
      <c r="F452" s="3">
        <f>E452/$K$1</f>
        <v>4.204969698657344E-3</v>
      </c>
      <c r="G452" s="5">
        <f t="shared" ref="G452:G515" si="15">G451+C452-$K$5*$K$9*SQRT(MAX(0,2*$K$6*(G451-$K$11)))</f>
        <v>101325.01753330156</v>
      </c>
    </row>
    <row r="453" spans="1:7" x14ac:dyDescent="0.25">
      <c r="A453">
        <v>2851</v>
      </c>
      <c r="B453" s="3">
        <v>2.7560040989976298E-4</v>
      </c>
      <c r="C453" s="3">
        <f>B453*$K$4</f>
        <v>2.7560040989976298E-4</v>
      </c>
      <c r="D453" s="3">
        <f>(E452/$K$1)*$K$2*1</f>
        <v>2.7332303041272736E-4</v>
      </c>
      <c r="E453" s="3">
        <f t="shared" si="14"/>
        <v>3.3923767938555831E-2</v>
      </c>
      <c r="F453" s="3">
        <f>E453/$K$1</f>
        <v>4.2052520067628399E-3</v>
      </c>
      <c r="G453" s="5">
        <f t="shared" si="15"/>
        <v>101325.01748229425</v>
      </c>
    </row>
    <row r="454" spans="1:7" x14ac:dyDescent="0.25">
      <c r="A454">
        <v>2852</v>
      </c>
      <c r="B454" s="3">
        <v>3.0196011698041401E-4</v>
      </c>
      <c r="C454" s="3">
        <f>B454*$K$4</f>
        <v>3.0196011698041401E-4</v>
      </c>
      <c r="D454" s="3">
        <f>(E453/$K$1)*$K$2*1</f>
        <v>2.7334138043958459E-4</v>
      </c>
      <c r="E454" s="3">
        <f t="shared" si="14"/>
        <v>3.395238667509666E-2</v>
      </c>
      <c r="F454" s="3">
        <f>E454/$K$1</f>
        <v>4.208799637423659E-3</v>
      </c>
      <c r="G454" s="5">
        <f t="shared" si="15"/>
        <v>101325.01745812206</v>
      </c>
    </row>
    <row r="455" spans="1:7" x14ac:dyDescent="0.25">
      <c r="A455">
        <v>2853</v>
      </c>
      <c r="B455" s="3">
        <v>3.28989928337157E-4</v>
      </c>
      <c r="C455" s="3">
        <f>B455*$K$4</f>
        <v>3.28989928337157E-4</v>
      </c>
      <c r="D455" s="3">
        <f>(E454/$K$1)*$K$2*1</f>
        <v>2.7357197643253787E-4</v>
      </c>
      <c r="E455" s="3">
        <f t="shared" si="14"/>
        <v>3.400780462700128E-2</v>
      </c>
      <c r="F455" s="3">
        <f>E455/$K$1</f>
        <v>4.2156693475891007E-3</v>
      </c>
      <c r="G455" s="5">
        <f t="shared" si="15"/>
        <v>101325.01746120524</v>
      </c>
    </row>
    <row r="456" spans="1:7" x14ac:dyDescent="0.25">
      <c r="A456">
        <v>2854</v>
      </c>
      <c r="B456" s="3">
        <v>3.5659838364445601E-4</v>
      </c>
      <c r="C456" s="3">
        <f>B456*$K$4</f>
        <v>3.5659838364445601E-4</v>
      </c>
      <c r="D456" s="3">
        <f>(E455/$K$1)*$K$2*1</f>
        <v>2.7401850759329157E-4</v>
      </c>
      <c r="E456" s="3">
        <f t="shared" si="14"/>
        <v>3.4090384503052441E-2</v>
      </c>
      <c r="F456" s="3">
        <f>E456/$K$1</f>
        <v>4.2259060992999179E-3</v>
      </c>
      <c r="G456" s="5">
        <f t="shared" si="15"/>
        <v>101325.01749186809</v>
      </c>
    </row>
    <row r="457" spans="1:7" x14ac:dyDescent="0.25">
      <c r="A457">
        <v>2855</v>
      </c>
      <c r="B457" s="3">
        <v>3.8469206462877998E-4</v>
      </c>
      <c r="C457" s="3">
        <f>B457*$K$4</f>
        <v>3.8469206462877998E-4</v>
      </c>
      <c r="D457" s="3">
        <f>(E456/$K$1)*$K$2*1</f>
        <v>2.7468389645449469E-4</v>
      </c>
      <c r="E457" s="3">
        <f t="shared" si="14"/>
        <v>3.420039267122673E-2</v>
      </c>
      <c r="F457" s="3">
        <f>E457/$K$1</f>
        <v>4.239542912015214E-3</v>
      </c>
      <c r="G457" s="5">
        <f t="shared" si="15"/>
        <v>101325.01755033855</v>
      </c>
    </row>
    <row r="458" spans="1:7" x14ac:dyDescent="0.25">
      <c r="A458">
        <v>2856</v>
      </c>
      <c r="B458" s="3">
        <v>4.1317591116653301E-4</v>
      </c>
      <c r="C458" s="3">
        <f>B458*$K$4</f>
        <v>4.1317591116653301E-4</v>
      </c>
      <c r="D458" s="3">
        <f>(E457/$K$1)*$K$2*1</f>
        <v>2.7557028928098891E-4</v>
      </c>
      <c r="E458" s="3">
        <f t="shared" si="14"/>
        <v>3.4337998293112272E-2</v>
      </c>
      <c r="F458" s="3">
        <f>E458/$K$1</f>
        <v>4.2566007553132851E-3</v>
      </c>
      <c r="G458" s="5">
        <f t="shared" si="15"/>
        <v>101325.01763674809</v>
      </c>
    </row>
    <row r="459" spans="1:7" x14ac:dyDescent="0.25">
      <c r="A459">
        <v>2857</v>
      </c>
      <c r="B459" s="3">
        <v>4.4195354293738101E-4</v>
      </c>
      <c r="C459" s="3">
        <f>B459*$K$4</f>
        <v>4.4195354293738101E-4</v>
      </c>
      <c r="D459" s="3">
        <f>(E458/$K$1)*$K$2*1</f>
        <v>2.7667904909536357E-4</v>
      </c>
      <c r="E459" s="3">
        <f t="shared" si="14"/>
        <v>3.4503272786954295E-2</v>
      </c>
      <c r="F459" s="3">
        <f>E459/$K$1</f>
        <v>4.2770884823297751E-3</v>
      </c>
      <c r="G459" s="5">
        <f t="shared" si="15"/>
        <v>101325.01775113183</v>
      </c>
    </row>
    <row r="460" spans="1:7" x14ac:dyDescent="0.25">
      <c r="A460">
        <v>2858</v>
      </c>
      <c r="B460" s="3">
        <v>4.7092758554475699E-4</v>
      </c>
      <c r="C460" s="3">
        <f>B460*$K$4</f>
        <v>4.7092758554475699E-4</v>
      </c>
      <c r="D460" s="3">
        <f>(E459/$K$1)*$K$2*1</f>
        <v>2.7801075135143542E-4</v>
      </c>
      <c r="E460" s="3">
        <f t="shared" si="14"/>
        <v>3.4696189621147615E-2</v>
      </c>
      <c r="F460" s="3">
        <f>E460/$K$1</f>
        <v>4.3010028041586233E-3</v>
      </c>
      <c r="G460" s="5">
        <f t="shared" si="15"/>
        <v>101325.01789342909</v>
      </c>
    </row>
    <row r="461" spans="1:7" x14ac:dyDescent="0.25">
      <c r="A461">
        <v>2859</v>
      </c>
      <c r="B461" s="3">
        <v>4.9999999999999296E-4</v>
      </c>
      <c r="C461" s="3">
        <f>B461*$K$4</f>
        <v>4.9999999999999296E-4</v>
      </c>
      <c r="D461" s="3">
        <f>(E460/$K$1)*$K$2*1</f>
        <v>2.7956518227031051E-4</v>
      </c>
      <c r="E461" s="3">
        <f t="shared" si="14"/>
        <v>3.4916624438877296E-2</v>
      </c>
      <c r="F461" s="3">
        <f>E461/$K$1</f>
        <v>4.3283283053027512E-3</v>
      </c>
      <c r="G461" s="5">
        <f t="shared" si="15"/>
        <v>101325.01806348421</v>
      </c>
    </row>
    <row r="462" spans="1:7" x14ac:dyDescent="0.25">
      <c r="A462">
        <v>2860</v>
      </c>
      <c r="B462" s="3">
        <v>5.2907241445523002E-4</v>
      </c>
      <c r="C462" s="3">
        <f>B462*$K$4</f>
        <v>5.2907241445523002E-4</v>
      </c>
      <c r="D462" s="3">
        <f>(E461/$K$1)*$K$2*1</f>
        <v>2.8134133984467882E-4</v>
      </c>
      <c r="E462" s="3">
        <f t="shared" si="14"/>
        <v>3.5164355513487851E-2</v>
      </c>
      <c r="F462" s="3">
        <f>E462/$K$1</f>
        <v>4.3590375001224561E-3</v>
      </c>
      <c r="G462" s="5">
        <f t="shared" si="15"/>
        <v>101325.01826104759</v>
      </c>
    </row>
    <row r="463" spans="1:7" x14ac:dyDescent="0.25">
      <c r="A463">
        <v>2861</v>
      </c>
      <c r="B463" s="3">
        <v>5.5804645706260497E-4</v>
      </c>
      <c r="C463" s="3">
        <f>B463*$K$4</f>
        <v>5.5804645706260497E-4</v>
      </c>
      <c r="D463" s="3">
        <f>(E462/$K$1)*$K$2*1</f>
        <v>2.8333743750795964E-4</v>
      </c>
      <c r="E463" s="3">
        <f t="shared" si="14"/>
        <v>3.5439064533042491E-2</v>
      </c>
      <c r="F463" s="3">
        <f>E463/$K$1</f>
        <v>4.3930909300908009E-3</v>
      </c>
      <c r="G463" s="5">
        <f t="shared" si="15"/>
        <v>101325.01848577707</v>
      </c>
    </row>
    <row r="464" spans="1:7" x14ac:dyDescent="0.25">
      <c r="A464">
        <v>2862</v>
      </c>
      <c r="B464" s="3">
        <v>5.8682408883346598E-4</v>
      </c>
      <c r="C464" s="3">
        <f>B464*$K$4</f>
        <v>5.8682408883346598E-4</v>
      </c>
      <c r="D464" s="3">
        <f>(E463/$K$1)*$K$2*1</f>
        <v>2.8555091045590205E-4</v>
      </c>
      <c r="E464" s="3">
        <f t="shared" si="14"/>
        <v>3.5740337711420059E-2</v>
      </c>
      <c r="F464" s="3">
        <f>E464/$K$1</f>
        <v>4.430437301527217E-3</v>
      </c>
      <c r="G464" s="5">
        <f t="shared" si="15"/>
        <v>101325.01873723946</v>
      </c>
    </row>
    <row r="465" spans="1:7" x14ac:dyDescent="0.25">
      <c r="A465">
        <v>2863</v>
      </c>
      <c r="B465" s="3">
        <v>6.1530793537121901E-4</v>
      </c>
      <c r="C465" s="3">
        <f>B465*$K$4</f>
        <v>6.1530793537121901E-4</v>
      </c>
      <c r="D465" s="3">
        <f>(E464/$K$1)*$K$2*1</f>
        <v>2.8797842459926914E-4</v>
      </c>
      <c r="E465" s="3">
        <f t="shared" si="14"/>
        <v>3.6067667222192012E-2</v>
      </c>
      <c r="F465" s="3">
        <f>E465/$K$1</f>
        <v>4.4710136633434993E-3</v>
      </c>
      <c r="G465" s="5">
        <f t="shared" si="15"/>
        <v>101325.01901491242</v>
      </c>
    </row>
    <row r="466" spans="1:7" x14ac:dyDescent="0.25">
      <c r="A466">
        <v>2864</v>
      </c>
      <c r="B466" s="3">
        <v>6.4340161635554304E-4</v>
      </c>
      <c r="C466" s="3">
        <f>B466*$K$4</f>
        <v>6.4340161635554304E-4</v>
      </c>
      <c r="D466" s="3">
        <f>(E465/$K$1)*$K$2*1</f>
        <v>2.9061588811732749E-4</v>
      </c>
      <c r="E466" s="3">
        <f t="shared" si="14"/>
        <v>3.6420452950430227E-2</v>
      </c>
      <c r="F466" s="3">
        <f>E466/$K$1</f>
        <v>4.5147456242010942E-3</v>
      </c>
      <c r="G466" s="5">
        <f t="shared" si="15"/>
        <v>101325.01931818652</v>
      </c>
    </row>
    <row r="467" spans="1:7" x14ac:dyDescent="0.25">
      <c r="A467">
        <v>2865</v>
      </c>
      <c r="B467" s="3">
        <v>6.7101007166283104E-4</v>
      </c>
      <c r="C467" s="3">
        <f>B467*$K$4</f>
        <v>6.7101007166283104E-4</v>
      </c>
      <c r="D467" s="3">
        <f>(E466/$K$1)*$K$2*1</f>
        <v>2.9345846557307111E-4</v>
      </c>
      <c r="E467" s="3">
        <f t="shared" si="14"/>
        <v>3.6798004556519985E-2</v>
      </c>
      <c r="F467" s="3">
        <f>E467/$K$1</f>
        <v>4.5615476083451078E-3</v>
      </c>
      <c r="G467" s="5">
        <f t="shared" si="15"/>
        <v>101325.01964636741</v>
      </c>
    </row>
    <row r="468" spans="1:7" x14ac:dyDescent="0.25">
      <c r="A468">
        <v>2866</v>
      </c>
      <c r="B468" s="3">
        <v>6.9803988301957295E-4</v>
      </c>
      <c r="C468" s="3">
        <f>B468*$K$4</f>
        <v>6.9803988301957295E-4</v>
      </c>
      <c r="D468" s="3">
        <f>(E467/$K$1)*$K$2*1</f>
        <v>2.9650059454243199E-4</v>
      </c>
      <c r="E468" s="3">
        <f t="shared" si="14"/>
        <v>3.7199543844997122E-2</v>
      </c>
      <c r="F468" s="3">
        <f>E468/$K$1</f>
        <v>4.6113231492496739E-3</v>
      </c>
      <c r="G468" s="5">
        <f t="shared" si="15"/>
        <v>101325.01999867836</v>
      </c>
    </row>
    <row r="469" spans="1:7" x14ac:dyDescent="0.25">
      <c r="A469">
        <v>2867</v>
      </c>
      <c r="B469" s="3">
        <v>7.2439959010022501E-4</v>
      </c>
      <c r="C469" s="3">
        <f>B469*$K$4</f>
        <v>7.2439959010022501E-4</v>
      </c>
      <c r="D469" s="3">
        <f>(E468/$K$1)*$K$2*1</f>
        <v>2.9973600470122882E-4</v>
      </c>
      <c r="E469" s="3">
        <f t="shared" si="14"/>
        <v>3.7624207430396121E-2</v>
      </c>
      <c r="F469" s="3">
        <f>E469/$K$1</f>
        <v>4.6639652200813342E-3</v>
      </c>
      <c r="G469" s="5">
        <f t="shared" si="15"/>
        <v>101325.02037426287</v>
      </c>
    </row>
    <row r="470" spans="1:7" x14ac:dyDescent="0.25">
      <c r="A470">
        <v>2868</v>
      </c>
      <c r="B470" s="3">
        <v>7.4999999999999199E-4</v>
      </c>
      <c r="C470" s="3">
        <f>B470*$K$4</f>
        <v>7.4999999999999199E-4</v>
      </c>
      <c r="D470" s="3">
        <f>(E469/$K$1)*$K$2*1</f>
        <v>3.0315773930528672E-4</v>
      </c>
      <c r="E470" s="3">
        <f t="shared" si="14"/>
        <v>3.8071049691090826E-2</v>
      </c>
      <c r="F470" s="3">
        <f>E470/$K$1</f>
        <v>4.7193565998625044E-3</v>
      </c>
      <c r="G470" s="5">
        <f t="shared" si="15"/>
        <v>101325.02077218758</v>
      </c>
    </row>
    <row r="471" spans="1:7" x14ac:dyDescent="0.25">
      <c r="A471">
        <v>2869</v>
      </c>
      <c r="B471" s="3">
        <v>7.7475448903540495E-4</v>
      </c>
      <c r="C471" s="3">
        <f>B471*$K$4</f>
        <v>7.7475448903540495E-4</v>
      </c>
      <c r="D471" s="3">
        <f>(E470/$K$1)*$K$2*1</f>
        <v>3.0675817899106277E-4</v>
      </c>
      <c r="E471" s="3">
        <f t="shared" si="14"/>
        <v>3.8539046001135169E-2</v>
      </c>
      <c r="F471" s="3">
        <f>E471/$K$1</f>
        <v>4.7773702740963389E-3</v>
      </c>
      <c r="G471" s="5">
        <f t="shared" si="15"/>
        <v>101325.02119144525</v>
      </c>
    </row>
    <row r="472" spans="1:7" x14ac:dyDescent="0.25">
      <c r="A472">
        <v>2870</v>
      </c>
      <c r="B472" s="3">
        <v>7.9857929585139297E-4</v>
      </c>
      <c r="C472" s="3">
        <f>B472*$K$4</f>
        <v>7.9857929585139297E-4</v>
      </c>
      <c r="D472" s="3">
        <f>(E471/$K$1)*$K$2*1</f>
        <v>3.1052906781626203E-4</v>
      </c>
      <c r="E472" s="3">
        <f t="shared" si="14"/>
        <v>3.9027096229170298E-2</v>
      </c>
      <c r="F472" s="3">
        <f>E472/$K$1</f>
        <v>4.8378698684976192E-3</v>
      </c>
      <c r="G472" s="5">
        <f t="shared" si="15"/>
        <v>101325.02163095804</v>
      </c>
    </row>
    <row r="473" spans="1:7" x14ac:dyDescent="0.25">
      <c r="A473">
        <v>2871</v>
      </c>
      <c r="B473" s="3">
        <v>8.2139380484326898E-4</v>
      </c>
      <c r="C473" s="3">
        <f>B473*$K$4</f>
        <v>8.2139380484326898E-4</v>
      </c>
      <c r="D473" s="3">
        <f>(E472/$K$1)*$K$2*1</f>
        <v>3.1446154145234524E-4</v>
      </c>
      <c r="E473" s="3">
        <f t="shared" si="14"/>
        <v>3.9534028492561227E-2</v>
      </c>
      <c r="F473" s="3">
        <f>E473/$K$1</f>
        <v>4.9007101143623685E-3</v>
      </c>
      <c r="G473" s="5">
        <f t="shared" si="15"/>
        <v>101325.0220895809</v>
      </c>
    </row>
    <row r="474" spans="1:7" x14ac:dyDescent="0.25">
      <c r="A474">
        <v>2872</v>
      </c>
      <c r="B474" s="3">
        <v>8.4312081893436503E-4</v>
      </c>
      <c r="C474" s="3">
        <f>B474*$K$4</f>
        <v>8.4312081893436503E-4</v>
      </c>
      <c r="D474" s="3">
        <f>(E473/$K$1)*$K$2*1</f>
        <v>3.1854615743355394E-4</v>
      </c>
      <c r="E474" s="3">
        <f t="shared" si="14"/>
        <v>4.0058603154062039E-2</v>
      </c>
      <c r="F474" s="3">
        <f>E474/$K$1</f>
        <v>4.9657373440017399E-3</v>
      </c>
      <c r="G474" s="5">
        <f t="shared" si="15"/>
        <v>101325.02256610521</v>
      </c>
    </row>
    <row r="475" spans="1:7" x14ac:dyDescent="0.25">
      <c r="A475">
        <v>2873</v>
      </c>
      <c r="B475" s="3">
        <v>8.6368682078652101E-4</v>
      </c>
      <c r="C475" s="3">
        <f>B475*$K$4</f>
        <v>8.6368682078652101E-4</v>
      </c>
      <c r="D475" s="3">
        <f>(E474/$K$1)*$K$2*1</f>
        <v>3.227729273601131E-4</v>
      </c>
      <c r="E475" s="3">
        <f t="shared" si="14"/>
        <v>4.0599517047488452E-2</v>
      </c>
      <c r="F475" s="3">
        <f>E475/$K$1</f>
        <v>5.0327900145640822E-3</v>
      </c>
      <c r="G475" s="5">
        <f t="shared" si="15"/>
        <v>101325.02305926243</v>
      </c>
    </row>
    <row r="476" spans="1:7" x14ac:dyDescent="0.25">
      <c r="A476">
        <v>2874</v>
      </c>
      <c r="B476" s="3">
        <v>8.8302222155948497E-4</v>
      </c>
      <c r="C476" s="3">
        <f>B476*$K$4</f>
        <v>8.8302222155948497E-4</v>
      </c>
      <c r="D476" s="3">
        <f>(E475/$K$1)*$K$2*1</f>
        <v>3.2713135094666537E-4</v>
      </c>
      <c r="E476" s="3">
        <f t="shared" si="14"/>
        <v>4.1155407918101274E-2</v>
      </c>
      <c r="F476" s="3">
        <f>E476/$K$1</f>
        <v>5.1016992584729482E-3</v>
      </c>
      <c r="G476" s="5">
        <f t="shared" si="15"/>
        <v>101325.02356772817</v>
      </c>
    </row>
    <row r="477" spans="1:7" x14ac:dyDescent="0.25">
      <c r="A477">
        <v>2875</v>
      </c>
      <c r="B477" s="3">
        <v>9.0106159637751702E-4</v>
      </c>
      <c r="C477" s="3">
        <f>B477*$K$4</f>
        <v>9.0106159637751702E-4</v>
      </c>
      <c r="D477" s="3">
        <f>(E476/$K$1)*$K$2*1</f>
        <v>3.3161045180074165E-4</v>
      </c>
      <c r="E477" s="3">
        <f t="shared" si="14"/>
        <v>4.1724859062678053E-2</v>
      </c>
      <c r="F477" s="3">
        <f>E477/$K$1</f>
        <v>5.1722894586188235E-3</v>
      </c>
      <c r="G477" s="5">
        <f t="shared" si="15"/>
        <v>101325.02409012624</v>
      </c>
    </row>
    <row r="478" spans="1:7" x14ac:dyDescent="0.25">
      <c r="A478">
        <v>2876</v>
      </c>
      <c r="B478" s="3">
        <v>9.1774390570646301E-4</v>
      </c>
      <c r="C478" s="3">
        <f>B478*$K$4</f>
        <v>9.1774390570646301E-4</v>
      </c>
      <c r="D478" s="3">
        <f>(E477/$K$1)*$K$2*1</f>
        <v>3.3619881481022353E-4</v>
      </c>
      <c r="E478" s="3">
        <f t="shared" si="14"/>
        <v>4.2306404153574291E-2</v>
      </c>
      <c r="F478" s="3">
        <f>E478/$K$1</f>
        <v>5.2443788463585337E-3</v>
      </c>
      <c r="G478" s="5">
        <f t="shared" si="15"/>
        <v>101325.02462503294</v>
      </c>
    </row>
    <row r="479" spans="1:7" x14ac:dyDescent="0.25">
      <c r="A479">
        <v>2877</v>
      </c>
      <c r="B479" s="3">
        <v>9.3301270189222001E-4</v>
      </c>
      <c r="C479" s="3">
        <f>B479*$K$4</f>
        <v>9.3301270189222001E-4</v>
      </c>
      <c r="D479" s="3">
        <f>(E478/$K$1)*$K$2*1</f>
        <v>3.4088462501330469E-4</v>
      </c>
      <c r="E479" s="3">
        <f t="shared" si="14"/>
        <v>4.2898532230453208E-2</v>
      </c>
      <c r="F479" s="3">
        <f>E479/$K$1</f>
        <v>5.3177801202991459E-3</v>
      </c>
      <c r="G479" s="5">
        <f t="shared" si="15"/>
        <v>101325.02517098143</v>
      </c>
    </row>
    <row r="480" spans="1:7" x14ac:dyDescent="0.25">
      <c r="A480">
        <v>2878</v>
      </c>
      <c r="B480" s="3">
        <v>9.4681632016170602E-4</v>
      </c>
      <c r="C480" s="3">
        <f>B480*$K$4</f>
        <v>9.4681632016170602E-4</v>
      </c>
      <c r="D480" s="3">
        <f>(E479/$K$1)*$K$2*1</f>
        <v>3.4565570781944449E-4</v>
      </c>
      <c r="E480" s="3">
        <f t="shared" si="14"/>
        <v>4.3499692842795472E-2</v>
      </c>
      <c r="F480" s="3">
        <f>E480/$K$1</f>
        <v>5.3923010837728363E-3</v>
      </c>
      <c r="G480" s="5">
        <f t="shared" si="15"/>
        <v>101325.02572646637</v>
      </c>
    </row>
    <row r="481" spans="1:7" x14ac:dyDescent="0.25">
      <c r="A481">
        <v>2879</v>
      </c>
      <c r="B481" s="3">
        <v>9.5910805344013596E-4</v>
      </c>
      <c r="C481" s="3">
        <f>B481*$K$4</f>
        <v>9.5910805344013596E-4</v>
      </c>
      <c r="D481" s="3">
        <f>(E480/$K$1)*$K$2*1</f>
        <v>3.5049957044523439E-4</v>
      </c>
      <c r="E481" s="3">
        <f t="shared" si="14"/>
        <v>4.4108301325790369E-2</v>
      </c>
      <c r="F481" s="3">
        <f>E481/$K$1</f>
        <v>5.4677452988459614E-3</v>
      </c>
      <c r="G481" s="5">
        <f t="shared" si="15"/>
        <v>101325.02628994857</v>
      </c>
    </row>
    <row r="482" spans="1:7" x14ac:dyDescent="0.25">
      <c r="A482">
        <v>2880</v>
      </c>
      <c r="B482" s="3">
        <v>9.69846310392953E-4</v>
      </c>
      <c r="C482" s="3">
        <f>B482*$K$4</f>
        <v>9.69846310392953E-4</v>
      </c>
      <c r="D482" s="3">
        <f>(E481/$K$1)*$K$2*1</f>
        <v>3.5540344442498749E-4</v>
      </c>
      <c r="E482" s="3">
        <f t="shared" si="14"/>
        <v>4.4722744191758333E-2</v>
      </c>
      <c r="F482" s="3">
        <f>E482/$K$1</f>
        <v>5.5439127546496013E-3</v>
      </c>
      <c r="G482" s="5">
        <f t="shared" si="15"/>
        <v>101325.02685985982</v>
      </c>
    </row>
    <row r="483" spans="1:7" x14ac:dyDescent="0.25">
      <c r="A483">
        <v>2881</v>
      </c>
      <c r="B483" s="3">
        <v>9.7899475615774293E-4</v>
      </c>
      <c r="C483" s="3">
        <f>B483*$K$4</f>
        <v>9.7899475615774293E-4</v>
      </c>
      <c r="D483" s="3">
        <f>(E482/$K$1)*$K$2*1</f>
        <v>3.6035432905222412E-4</v>
      </c>
      <c r="E483" s="3">
        <f t="shared" si="14"/>
        <v>4.5341384618863854E-2</v>
      </c>
      <c r="F483" s="3">
        <f>E483/$K$1</f>
        <v>5.6206005477704045E-3</v>
      </c>
      <c r="G483" s="5">
        <f t="shared" si="15"/>
        <v>101325.02743460788</v>
      </c>
    </row>
    <row r="484" spans="1:7" x14ac:dyDescent="0.25">
      <c r="A484">
        <v>2882</v>
      </c>
      <c r="B484" s="3">
        <v>9.865224352899099E-4</v>
      </c>
      <c r="C484" s="3">
        <f>B484*$K$4</f>
        <v>9.865224352899099E-4</v>
      </c>
      <c r="D484" s="3">
        <f>(E483/$K$1)*$K$2*1</f>
        <v>3.6533903560507629E-4</v>
      </c>
      <c r="E484" s="3">
        <f t="shared" si="14"/>
        <v>4.5962568018548693E-2</v>
      </c>
      <c r="F484" s="3">
        <f>E484/$K$1</f>
        <v>5.6976035723997386E-3</v>
      </c>
      <c r="G484" s="5">
        <f t="shared" si="15"/>
        <v>101325.02801258149</v>
      </c>
    </row>
    <row r="485" spans="1:7" x14ac:dyDescent="0.25">
      <c r="A485">
        <v>2883</v>
      </c>
      <c r="B485" s="3">
        <v>9.9240387650610207E-4</v>
      </c>
      <c r="C485" s="3">
        <f>B485*$K$4</f>
        <v>9.9240387650610207E-4</v>
      </c>
      <c r="D485" s="3">
        <f>(E484/$K$1)*$K$2*1</f>
        <v>3.70344232205983E-4</v>
      </c>
      <c r="E485" s="3">
        <f t="shared" si="14"/>
        <v>4.6584627662848807E-2</v>
      </c>
      <c r="F485" s="3">
        <f>E485/$K$1</f>
        <v>5.7747152179061373E-3</v>
      </c>
      <c r="G485" s="5">
        <f t="shared" si="15"/>
        <v>101325.02859215545</v>
      </c>
    </row>
    <row r="486" spans="1:7" x14ac:dyDescent="0.25">
      <c r="A486">
        <v>2884</v>
      </c>
      <c r="B486" s="3">
        <v>9.9661917887097101E-4</v>
      </c>
      <c r="C486" s="3">
        <f>B486*$K$4</f>
        <v>9.9661917887097101E-4</v>
      </c>
      <c r="D486" s="3">
        <f>(E485/$K$1)*$K$2*1</f>
        <v>3.7535648916389892E-4</v>
      </c>
      <c r="E486" s="3">
        <f t="shared" si="14"/>
        <v>4.7205890352555881E-2</v>
      </c>
      <c r="F486" s="3">
        <f>E486/$K$1</f>
        <v>5.8517280714709156E-3</v>
      </c>
      <c r="G486" s="5">
        <f t="shared" si="15"/>
        <v>101325.02917169587</v>
      </c>
    </row>
    <row r="487" spans="1:7" x14ac:dyDescent="0.25">
      <c r="A487">
        <v>2885</v>
      </c>
      <c r="B487" s="3">
        <v>9.9915407913563395E-4</v>
      </c>
      <c r="C487" s="3">
        <f>B487*$K$4</f>
        <v>9.9915407913563395E-4</v>
      </c>
      <c r="D487" s="3">
        <f>(E486/$K$1)*$K$2*1</f>
        <v>3.8036232464560952E-4</v>
      </c>
      <c r="E487" s="3">
        <f t="shared" si="14"/>
        <v>4.78246821070459E-2</v>
      </c>
      <c r="F487" s="3">
        <f>E487/$K$1</f>
        <v>5.9284346234096813E-3</v>
      </c>
      <c r="G487" s="5">
        <f t="shared" si="15"/>
        <v>101325.02974956548</v>
      </c>
    </row>
    <row r="488" spans="1:7" x14ac:dyDescent="0.25">
      <c r="A488">
        <v>2886</v>
      </c>
      <c r="B488" s="3">
        <v>1E-3</v>
      </c>
      <c r="C488" s="3">
        <f>B488*$K$4</f>
        <v>1E-3</v>
      </c>
      <c r="D488" s="3">
        <f>(E487/$K$1)*$K$2*1</f>
        <v>3.853482505216293E-4</v>
      </c>
      <c r="E488" s="3">
        <f t="shared" si="14"/>
        <v>4.8439333856524269E-2</v>
      </c>
      <c r="F488" s="3">
        <f>E488/$K$1</f>
        <v>6.0046279727933886E-3</v>
      </c>
      <c r="G488" s="5">
        <f t="shared" si="15"/>
        <v>101325.03032412882</v>
      </c>
    </row>
    <row r="489" spans="1:7" x14ac:dyDescent="0.25">
      <c r="A489">
        <v>2887</v>
      </c>
      <c r="B489" s="3">
        <v>9.9902132901341298E-4</v>
      </c>
      <c r="C489" s="3">
        <f>B489*$K$4</f>
        <v>9.9902132901341298E-4</v>
      </c>
      <c r="D489" s="3">
        <f>(E488/$K$1)*$K$2*1</f>
        <v>3.9030081823157028E-4</v>
      </c>
      <c r="E489" s="3">
        <f t="shared" si="14"/>
        <v>4.9048054367306117E-2</v>
      </c>
      <c r="F489" s="3">
        <f>E489/$K$1</f>
        <v>6.0800860750348474E-3</v>
      </c>
      <c r="G489" s="5">
        <f t="shared" si="15"/>
        <v>101325.03089362483</v>
      </c>
    </row>
    <row r="490" spans="1:7" x14ac:dyDescent="0.25">
      <c r="A490">
        <v>2888</v>
      </c>
      <c r="B490" s="3">
        <v>9.9609078917879505E-4</v>
      </c>
      <c r="C490" s="3">
        <f>B490*$K$4</f>
        <v>9.9609078917879505E-4</v>
      </c>
      <c r="D490" s="3">
        <f>(E489/$K$1)*$K$2*1</f>
        <v>3.952055948772651E-4</v>
      </c>
      <c r="E490" s="3">
        <f t="shared" si="14"/>
        <v>4.9648939561607645E-2</v>
      </c>
      <c r="F490" s="3">
        <f>E490/$K$1</f>
        <v>6.1545728971870144E-3</v>
      </c>
      <c r="G490" s="5">
        <f t="shared" si="15"/>
        <v>101325.03145617576</v>
      </c>
    </row>
    <row r="491" spans="1:7" x14ac:dyDescent="0.25">
      <c r="A491">
        <v>2889</v>
      </c>
      <c r="B491" s="3">
        <v>9.9122476926363908E-4</v>
      </c>
      <c r="C491" s="3">
        <f>B491*$K$4</f>
        <v>9.9122476926363908E-4</v>
      </c>
      <c r="D491" s="3">
        <f>(E490/$K$1)*$K$2*1</f>
        <v>4.0004723831715594E-4</v>
      </c>
      <c r="E491" s="3">
        <f t="shared" si="14"/>
        <v>5.0240117092554125E-2</v>
      </c>
      <c r="F491" s="3">
        <f>E491/$K$1</f>
        <v>6.2278563397240765E-3</v>
      </c>
      <c r="G491" s="5">
        <f t="shared" si="15"/>
        <v>101325.03200993124</v>
      </c>
    </row>
    <row r="492" spans="1:7" x14ac:dyDescent="0.25">
      <c r="A492">
        <v>2890</v>
      </c>
      <c r="B492" s="3">
        <v>9.8445048202515091E-4</v>
      </c>
      <c r="C492" s="3">
        <f>B492*$K$4</f>
        <v>9.8445048202515091E-4</v>
      </c>
      <c r="D492" s="3">
        <f>(E491/$K$1)*$K$2*1</f>
        <v>4.0481066208206498E-4</v>
      </c>
      <c r="E492" s="3">
        <f t="shared" si="14"/>
        <v>5.081975691249721E-2</v>
      </c>
      <c r="F492" s="3">
        <f>E492/$K$1</f>
        <v>6.2997095466092983E-3</v>
      </c>
      <c r="G492" s="5">
        <f t="shared" si="15"/>
        <v>101325.03255307862</v>
      </c>
    </row>
    <row r="493" spans="1:7" x14ac:dyDescent="0.25">
      <c r="A493">
        <v>2891</v>
      </c>
      <c r="B493" s="3">
        <v>9.7580581202547296E-4</v>
      </c>
      <c r="C493" s="3">
        <f>B493*$K$4</f>
        <v>9.7580581202547296E-4</v>
      </c>
      <c r="D493" s="3">
        <f>(E492/$K$1)*$K$2*1</f>
        <v>4.0948112052960442E-4</v>
      </c>
      <c r="E493" s="3">
        <f t="shared" si="14"/>
        <v>5.1386081603993078E-2</v>
      </c>
      <c r="F493" s="3">
        <f>E493/$K$1</f>
        <v>6.3699121859418714E-3</v>
      </c>
      <c r="G493" s="5">
        <f t="shared" si="15"/>
        <v>101325.03308385305</v>
      </c>
    </row>
    <row r="494" spans="1:7" x14ac:dyDescent="0.25">
      <c r="A494">
        <v>2892</v>
      </c>
      <c r="B494" s="3">
        <v>9.6533910376584505E-4</v>
      </c>
      <c r="C494" s="3">
        <f>B494*$K$4</f>
        <v>9.6533910376584505E-4</v>
      </c>
      <c r="D494" s="3">
        <f>(E493/$K$1)*$K$2*1</f>
        <v>4.1404429208622166E-4</v>
      </c>
      <c r="E494" s="3">
        <f t="shared" si="14"/>
        <v>5.1937376415672705E-2</v>
      </c>
      <c r="F494" s="3">
        <f>E494/$K$1</f>
        <v>6.4382516940216569E-3</v>
      </c>
      <c r="G494" s="5">
        <f t="shared" si="15"/>
        <v>101325.03360054735</v>
      </c>
    </row>
    <row r="495" spans="1:7" x14ac:dyDescent="0.25">
      <c r="A495">
        <v>2893</v>
      </c>
      <c r="B495" s="3">
        <v>9.5310889132455196E-4</v>
      </c>
      <c r="C495" s="3">
        <f>B495*$K$4</f>
        <v>9.5310889132455196E-4</v>
      </c>
      <c r="D495" s="3">
        <f>(E494/$K$1)*$K$2*1</f>
        <v>4.1848636011140768E-4</v>
      </c>
      <c r="E495" s="3">
        <f t="shared" si="14"/>
        <v>5.2471998946885846E-2</v>
      </c>
      <c r="F495" s="3">
        <f>E495/$K$1</f>
        <v>6.5045244758752752E-3</v>
      </c>
      <c r="G495" s="5">
        <f t="shared" si="15"/>
        <v>101325.0341015216</v>
      </c>
    </row>
    <row r="496" spans="1:7" x14ac:dyDescent="0.25">
      <c r="A496">
        <v>2894</v>
      </c>
      <c r="B496" s="3">
        <v>9.39183571010597E-4</v>
      </c>
      <c r="C496" s="3">
        <f>B496*$K$4</f>
        <v>9.39183571010597E-4</v>
      </c>
      <c r="D496" s="3">
        <f>(E495/$K$1)*$K$2*1</f>
        <v>4.2279409093189292E-4</v>
      </c>
      <c r="E496" s="3">
        <f t="shared" si="14"/>
        <v>5.2988388426964551E-2</v>
      </c>
      <c r="F496" s="3">
        <f>E496/$K$1</f>
        <v>6.5685370555305005E-3</v>
      </c>
      <c r="G496" s="5">
        <f t="shared" si="15"/>
        <v>101325.03458521242</v>
      </c>
    </row>
    <row r="497" spans="1:7" x14ac:dyDescent="0.25">
      <c r="A497">
        <v>2895</v>
      </c>
      <c r="B497" s="3">
        <v>9.2364101886381004E-4</v>
      </c>
      <c r="C497" s="3">
        <f>B497*$K$4</f>
        <v>9.2364101886381004E-4</v>
      </c>
      <c r="D497" s="3">
        <f>(E496/$K$1)*$K$2*1</f>
        <v>4.2695490860948253E-4</v>
      </c>
      <c r="E497" s="3">
        <f t="shared" si="14"/>
        <v>5.3485074537218881E-2</v>
      </c>
      <c r="F497" s="3">
        <f>E497/$K$1</f>
        <v>6.630107169606902E-3</v>
      </c>
      <c r="G497" s="5">
        <f t="shared" si="15"/>
        <v>101325.03505014173</v>
      </c>
    </row>
    <row r="498" spans="1:7" x14ac:dyDescent="0.25">
      <c r="A498">
        <v>2896</v>
      </c>
      <c r="B498" s="3">
        <v>9.0656815514043995E-4</v>
      </c>
      <c r="C498" s="3">
        <f>B498*$K$4</f>
        <v>9.0656815514043995E-4</v>
      </c>
      <c r="D498" s="3">
        <f>(E497/$K$1)*$K$2*1</f>
        <v>4.3095696602444867E-4</v>
      </c>
      <c r="E498" s="3">
        <f t="shared" si="14"/>
        <v>5.3960685726334869E-2</v>
      </c>
      <c r="F498" s="3">
        <f>E498/$K$1</f>
        <v>6.6890647981077064E-3</v>
      </c>
      <c r="G498" s="5">
        <f t="shared" si="15"/>
        <v>101325.03549492524</v>
      </c>
    </row>
    <row r="499" spans="1:7" x14ac:dyDescent="0.25">
      <c r="A499">
        <v>2897</v>
      </c>
      <c r="B499" s="3">
        <v>8.8806045821982404E-4</v>
      </c>
      <c r="C499" s="3">
        <f>B499*$K$4</f>
        <v>8.8806045821982404E-4</v>
      </c>
      <c r="D499" s="3">
        <f>(E498/$K$1)*$K$2*1</f>
        <v>4.3478921187700096E-4</v>
      </c>
      <c r="E499" s="3">
        <f t="shared" si="14"/>
        <v>5.4413956972677695E-2</v>
      </c>
      <c r="F499" s="3">
        <f>E499/$K$1</f>
        <v>6.745253126649026E-3</v>
      </c>
      <c r="G499" s="5">
        <f t="shared" si="15"/>
        <v>101325.03591828028</v>
      </c>
    </row>
    <row r="500" spans="1:7" x14ac:dyDescent="0.25">
      <c r="A500">
        <v>2898</v>
      </c>
      <c r="B500" s="3">
        <v>8.6822143065055999E-4</v>
      </c>
      <c r="C500" s="3">
        <f>B500*$K$4</f>
        <v>8.6822143065055999E-4</v>
      </c>
      <c r="D500" s="3">
        <f>(E499/$K$1)*$K$2*1</f>
        <v>4.3844145323218672E-4</v>
      </c>
      <c r="E500" s="3">
        <f t="shared" si="14"/>
        <v>5.4843736950096068E-2</v>
      </c>
      <c r="F500" s="3">
        <f>E500/$K$1</f>
        <v>6.7985294347460102E-3</v>
      </c>
      <c r="G500" s="5">
        <f t="shared" si="15"/>
        <v>101325.03631903318</v>
      </c>
    </row>
    <row r="501" spans="1:7" x14ac:dyDescent="0.25">
      <c r="A501">
        <v>2899</v>
      </c>
      <c r="B501" s="3">
        <v>8.4716202032226301E-4</v>
      </c>
      <c r="C501" s="3">
        <f>B501*$K$4</f>
        <v>8.4716202032226301E-4</v>
      </c>
      <c r="D501" s="3">
        <f>(E500/$K$1)*$K$2*1</f>
        <v>4.419044132584907E-4</v>
      </c>
      <c r="E501" s="3">
        <f t="shared" si="14"/>
        <v>5.5248994557159842E-2</v>
      </c>
      <c r="F501" s="3">
        <f>E501/$K$1</f>
        <v>6.8487659051890224E-3</v>
      </c>
      <c r="G501" s="5">
        <f t="shared" si="15"/>
        <v>101325.03669612607</v>
      </c>
    </row>
    <row r="502" spans="1:7" x14ac:dyDescent="0.25">
      <c r="A502">
        <v>2900</v>
      </c>
      <c r="B502" s="3">
        <v>8.2499999999999598E-4</v>
      </c>
      <c r="C502" s="3">
        <f>B502*$K$4</f>
        <v>8.2499999999999598E-4</v>
      </c>
      <c r="D502" s="3">
        <f>(E501/$K$1)*$K$2*1</f>
        <v>4.4516978383728645E-4</v>
      </c>
      <c r="E502" s="3">
        <f t="shared" si="14"/>
        <v>5.5628824773322552E-2</v>
      </c>
      <c r="F502" s="3">
        <f>E502/$K$1</f>
        <v>6.8958503499842016E-3</v>
      </c>
      <c r="G502" s="5">
        <f t="shared" si="15"/>
        <v>101325.03704862291</v>
      </c>
    </row>
    <row r="503" spans="1:7" x14ac:dyDescent="0.25">
      <c r="A503">
        <v>2901</v>
      </c>
      <c r="B503" s="3">
        <v>8.01859308691143E-4</v>
      </c>
      <c r="C503" s="3">
        <f>B503*$K$4</f>
        <v>8.01859308691143E-4</v>
      </c>
      <c r="D503" s="3">
        <f>(E502/$K$1)*$K$2*1</f>
        <v>4.4823027274897313E-4</v>
      </c>
      <c r="E503" s="3">
        <f t="shared" si="14"/>
        <v>5.5982453809264726E-2</v>
      </c>
      <c r="F503" s="3">
        <f>E503/$K$1</f>
        <v>6.9396868487993958E-3</v>
      </c>
      <c r="G503" s="5">
        <f t="shared" si="15"/>
        <v>101325.0373757151</v>
      </c>
    </row>
    <row r="504" spans="1:7" x14ac:dyDescent="0.25">
      <c r="A504">
        <v>2902</v>
      </c>
      <c r="B504" s="3">
        <v>7.7786935852823698E-4</v>
      </c>
      <c r="C504" s="3">
        <f>B504*$K$4</f>
        <v>7.7786935852823698E-4</v>
      </c>
      <c r="D504" s="3">
        <f>(E503/$K$1)*$K$2*1</f>
        <v>4.5107964517196073E-4</v>
      </c>
      <c r="E504" s="3">
        <f t="shared" si="14"/>
        <v>5.6309243522621004E-2</v>
      </c>
      <c r="F504" s="3">
        <f>E504/$K$1</f>
        <v>6.9801962963457302E-3</v>
      </c>
      <c r="G504" s="5">
        <f t="shared" si="15"/>
        <v>101325.03767672613</v>
      </c>
    </row>
    <row r="505" spans="1:7" x14ac:dyDescent="0.25">
      <c r="A505">
        <v>2903</v>
      </c>
      <c r="B505" s="3">
        <v>7.5316431104381599E-4</v>
      </c>
      <c r="C505" s="3">
        <f>B505*$K$4</f>
        <v>7.5316431104381599E-4</v>
      </c>
      <c r="D505" s="3">
        <f>(E504/$K$1)*$K$2*1</f>
        <v>4.537127592624725E-4</v>
      </c>
      <c r="E505" s="3">
        <f t="shared" si="14"/>
        <v>5.6608695074402346E-2</v>
      </c>
      <c r="F505" s="3">
        <f>E505/$K$1</f>
        <v>7.017316855634355E-3</v>
      </c>
      <c r="G505" s="5">
        <f t="shared" si="15"/>
        <v>101325.03795111575</v>
      </c>
    </row>
    <row r="506" spans="1:7" x14ac:dyDescent="0.25">
      <c r="A506">
        <v>2904</v>
      </c>
      <c r="B506" s="3">
        <v>7.2788232688471104E-4</v>
      </c>
      <c r="C506" s="3">
        <f>B506*$K$4</f>
        <v>7.2788232688471104E-4</v>
      </c>
      <c r="D506" s="3">
        <f>(E505/$K$1)*$K$2*1</f>
        <v>4.5612559561623308E-4</v>
      </c>
      <c r="E506" s="3">
        <f t="shared" si="14"/>
        <v>5.6880451805670827E-2</v>
      </c>
      <c r="F506" s="3">
        <f>E506/$K$1</f>
        <v>7.0510043145742933E-3</v>
      </c>
      <c r="G506" s="5">
        <f t="shared" si="15"/>
        <v>101325.03819848316</v>
      </c>
    </row>
    <row r="507" spans="1:7" x14ac:dyDescent="0.25">
      <c r="A507">
        <v>2905</v>
      </c>
      <c r="B507" s="3">
        <v>7.02164793161663E-4</v>
      </c>
      <c r="C507" s="3">
        <f>B507*$K$4</f>
        <v>7.02164793161663E-4</v>
      </c>
      <c r="D507" s="3">
        <f>(E506/$K$1)*$K$2*1</f>
        <v>4.5831528044732909E-4</v>
      </c>
      <c r="E507" s="3">
        <f t="shared" si="14"/>
        <v>5.7124301318385161E-2</v>
      </c>
      <c r="F507" s="3">
        <f>E507/$K$1</f>
        <v>7.0812323439178333E-3</v>
      </c>
      <c r="G507" s="5">
        <f t="shared" si="15"/>
        <v>101325.03841856956</v>
      </c>
    </row>
    <row r="508" spans="1:7" x14ac:dyDescent="0.25">
      <c r="A508">
        <v>2906</v>
      </c>
      <c r="B508" s="3">
        <v>6.7615553275525203E-4</v>
      </c>
      <c r="C508" s="3">
        <f>B508*$K$4</f>
        <v>6.7615553275525203E-4</v>
      </c>
      <c r="D508" s="3">
        <f>(E507/$K$1)*$K$2*1</f>
        <v>4.6028010235465918E-4</v>
      </c>
      <c r="E508" s="3">
        <f t="shared" si="14"/>
        <v>5.7340176748785755E-2</v>
      </c>
      <c r="F508" s="3">
        <f>E508/$K$1</f>
        <v>7.107992655111659E-3</v>
      </c>
      <c r="G508" s="5">
        <f t="shared" si="15"/>
        <v>101325.03861125991</v>
      </c>
    </row>
    <row r="509" spans="1:7" x14ac:dyDescent="0.25">
      <c r="A509">
        <v>2907</v>
      </c>
      <c r="B509" s="3">
        <v>6.4999999999999401E-4</v>
      </c>
      <c r="C509" s="3">
        <f>B509*$K$4</f>
        <v>6.4999999999999401E-4</v>
      </c>
      <c r="D509" s="3">
        <f>(E508/$K$1)*$K$2*1</f>
        <v>4.6201952258225783E-4</v>
      </c>
      <c r="E509" s="3">
        <f t="shared" si="14"/>
        <v>5.752815722620349E-2</v>
      </c>
      <c r="F509" s="3">
        <f>E509/$K$1</f>
        <v>7.1312950571716235E-3</v>
      </c>
      <c r="G509" s="5">
        <f t="shared" si="15"/>
        <v>101325.03877658382</v>
      </c>
    </row>
    <row r="510" spans="1:7" x14ac:dyDescent="0.25">
      <c r="A510">
        <v>2908</v>
      </c>
      <c r="B510" s="3">
        <v>6.2384446724474704E-4</v>
      </c>
      <c r="C510" s="3">
        <f>B510*$K$4</f>
        <v>6.2384446724474704E-4</v>
      </c>
      <c r="D510" s="3">
        <f>(E509/$K$1)*$K$2*1</f>
        <v>4.6353417871615552E-4</v>
      </c>
      <c r="E510" s="3">
        <f t="shared" si="14"/>
        <v>5.7688467514732084E-2</v>
      </c>
      <c r="F510" s="3">
        <f>E510/$K$1</f>
        <v>7.1511674122638012E-3</v>
      </c>
      <c r="G510" s="5">
        <f t="shared" si="15"/>
        <v>101325.03891471568</v>
      </c>
    </row>
    <row r="511" spans="1:7" x14ac:dyDescent="0.25">
      <c r="A511">
        <v>2909</v>
      </c>
      <c r="B511" s="3">
        <v>5.9783520683833597E-4</v>
      </c>
      <c r="C511" s="3">
        <f>B511*$K$4</f>
        <v>5.9783520683833597E-4</v>
      </c>
      <c r="D511" s="3">
        <f>(E510/$K$1)*$K$2*1</f>
        <v>4.6482588179714711E-4</v>
      </c>
      <c r="E511" s="3">
        <f t="shared" si="14"/>
        <v>5.7821476839773275E-2</v>
      </c>
      <c r="F511" s="3">
        <f>E511/$K$1</f>
        <v>7.1676554902408915E-3</v>
      </c>
      <c r="G511" s="5">
        <f t="shared" si="15"/>
        <v>101325.03902597394</v>
      </c>
    </row>
    <row r="512" spans="1:7" x14ac:dyDescent="0.25">
      <c r="A512">
        <v>2910</v>
      </c>
      <c r="B512" s="3">
        <v>5.7211767311528803E-4</v>
      </c>
      <c r="C512" s="3">
        <f>B512*$K$4</f>
        <v>5.7211767311528803E-4</v>
      </c>
      <c r="D512" s="3">
        <f>(E511/$K$1)*$K$2*1</f>
        <v>4.6589760686565799E-4</v>
      </c>
      <c r="E512" s="3">
        <f t="shared" si="14"/>
        <v>5.792769690602291E-2</v>
      </c>
      <c r="F512" s="3">
        <f>E512/$K$1</f>
        <v>7.1808227229481726E-3</v>
      </c>
      <c r="G512" s="5">
        <f t="shared" si="15"/>
        <v>101325.03911081958</v>
      </c>
    </row>
    <row r="513" spans="1:7" x14ac:dyDescent="0.25">
      <c r="A513">
        <v>2911</v>
      </c>
      <c r="B513" s="3">
        <v>5.4683568895618298E-4</v>
      </c>
      <c r="C513" s="3">
        <f>B513*$K$4</f>
        <v>5.4683568895618298E-4</v>
      </c>
      <c r="D513" s="3">
        <f>(E512/$K$1)*$K$2*1</f>
        <v>4.6675347699163123E-4</v>
      </c>
      <c r="E513" s="3">
        <f t="shared" si="14"/>
        <v>5.8007779117987462E-2</v>
      </c>
      <c r="F513" s="3">
        <f>E513/$K$1</f>
        <v>7.1907498596736653E-3</v>
      </c>
      <c r="G513" s="5">
        <f t="shared" si="15"/>
        <v>101325.03916985384</v>
      </c>
    </row>
    <row r="514" spans="1:7" x14ac:dyDescent="0.25">
      <c r="A514">
        <v>2912</v>
      </c>
      <c r="B514" s="3">
        <v>5.2213064147176198E-4</v>
      </c>
      <c r="C514" s="3">
        <f>B514*$K$4</f>
        <v>5.2213064147176198E-4</v>
      </c>
      <c r="D514" s="3">
        <f>(E513/$K$1)*$K$2*1</f>
        <v>4.6739874087878828E-4</v>
      </c>
      <c r="E514" s="3">
        <f t="shared" si="14"/>
        <v>5.8062511018580433E-2</v>
      </c>
      <c r="F514" s="3">
        <f>E514/$K$1</f>
        <v>7.1975345256700667E-3</v>
      </c>
      <c r="G514" s="5">
        <f t="shared" si="15"/>
        <v>101325.03920381505</v>
      </c>
    </row>
    <row r="515" spans="1:7" x14ac:dyDescent="0.25">
      <c r="A515">
        <v>2913</v>
      </c>
      <c r="B515" s="3">
        <v>4.9814069130885597E-4</v>
      </c>
      <c r="C515" s="3">
        <f>B515*$K$4</f>
        <v>4.9814069130885597E-4</v>
      </c>
      <c r="D515" s="3">
        <f>(E514/$K$1)*$K$2*1</f>
        <v>4.6783974416855437E-4</v>
      </c>
      <c r="E515" s="3">
        <f t="shared" si="14"/>
        <v>5.8092811965720734E-2</v>
      </c>
      <c r="F515" s="3">
        <f>E515/$K$1</f>
        <v>7.2012906862180155E-3</v>
      </c>
      <c r="G515" s="5">
        <f t="shared" si="15"/>
        <v>101325.03921357474</v>
      </c>
    </row>
    <row r="516" spans="1:7" x14ac:dyDescent="0.25">
      <c r="A516">
        <v>2914</v>
      </c>
      <c r="B516" s="3">
        <v>4.7499999999999301E-4</v>
      </c>
      <c r="C516" s="3">
        <f>B516*$K$4</f>
        <v>4.7499999999999301E-4</v>
      </c>
      <c r="D516" s="3">
        <f>(E515/$K$1)*$K$2*1</f>
        <v>4.6808389460417101E-4</v>
      </c>
      <c r="E516" s="3">
        <f t="shared" ref="E516:E579" si="16">E515+C516-D516</f>
        <v>5.809972807111656E-2</v>
      </c>
      <c r="F516" s="3">
        <f>E516/$K$1</f>
        <v>7.2021480192285313E-3</v>
      </c>
      <c r="G516" s="5">
        <f t="shared" ref="G516:G579" si="17">G515+C516-$K$5*$K$9*SQRT(MAX(0,2*$K$6*(G515-$K$11)))</f>
        <v>101325.03920013293</v>
      </c>
    </row>
    <row r="517" spans="1:7" x14ac:dyDescent="0.25">
      <c r="A517">
        <v>2915</v>
      </c>
      <c r="B517" s="3">
        <v>4.5283797967772701E-4</v>
      </c>
      <c r="C517" s="3">
        <f>B517*$K$4</f>
        <v>4.5283797967772701E-4</v>
      </c>
      <c r="D517" s="3">
        <f>(E516/$K$1)*$K$2*1</f>
        <v>4.6813962124985458E-4</v>
      </c>
      <c r="E517" s="3">
        <f t="shared" si="16"/>
        <v>5.8084426429544429E-2</v>
      </c>
      <c r="F517" s="3">
        <f>E517/$K$1</f>
        <v>7.2002511998939421E-3</v>
      </c>
      <c r="G517" s="5">
        <f t="shared" si="17"/>
        <v>101325.03916461284</v>
      </c>
    </row>
    <row r="518" spans="1:7" x14ac:dyDescent="0.25">
      <c r="A518">
        <v>2916</v>
      </c>
      <c r="B518" s="3">
        <v>4.3177856934943903E-4</v>
      </c>
      <c r="C518" s="3">
        <f>B518*$K$4</f>
        <v>4.3177856934943903E-4</v>
      </c>
      <c r="D518" s="3">
        <f>(E517/$K$1)*$K$2*1</f>
        <v>4.6801632799310623E-4</v>
      </c>
      <c r="E518" s="3">
        <f t="shared" si="16"/>
        <v>5.8048188670900759E-2</v>
      </c>
      <c r="F518" s="3">
        <f>E518/$K$1</f>
        <v>7.1957591013884666E-3</v>
      </c>
      <c r="G518" s="5">
        <f t="shared" si="17"/>
        <v>101325.03910825464</v>
      </c>
    </row>
    <row r="519" spans="1:7" x14ac:dyDescent="0.25">
      <c r="A519">
        <v>2917</v>
      </c>
      <c r="B519" s="3">
        <v>4.1193954178017498E-4</v>
      </c>
      <c r="C519" s="3">
        <f>B519*$K$4</f>
        <v>4.1193954178017498E-4</v>
      </c>
      <c r="D519" s="3">
        <f>(E518/$K$1)*$K$2*1</f>
        <v>4.6772434159025032E-4</v>
      </c>
      <c r="E519" s="3">
        <f t="shared" si="16"/>
        <v>5.7992403871090684E-2</v>
      </c>
      <c r="F519" s="3">
        <f>E519/$K$1</f>
        <v>7.1888439160890895E-3</v>
      </c>
      <c r="G519" s="5">
        <f t="shared" si="17"/>
        <v>101325.03903240876</v>
      </c>
    </row>
    <row r="520" spans="1:7" x14ac:dyDescent="0.25">
      <c r="A520">
        <v>2918</v>
      </c>
      <c r="B520" s="3">
        <v>3.9343184485955902E-4</v>
      </c>
      <c r="C520" s="3">
        <f>B520*$K$4</f>
        <v>3.9343184485955902E-4</v>
      </c>
      <c r="D520" s="3">
        <f>(E519/$K$1)*$K$2*1</f>
        <v>4.6727485454579084E-4</v>
      </c>
      <c r="E520" s="3">
        <f t="shared" si="16"/>
        <v>5.7918560861404449E-2</v>
      </c>
      <c r="F520" s="3">
        <f>E520/$K$1</f>
        <v>7.1796902022318639E-3</v>
      </c>
      <c r="G520" s="5">
        <f t="shared" si="17"/>
        <v>101325.03893852842</v>
      </c>
    </row>
    <row r="521" spans="1:7" x14ac:dyDescent="0.25">
      <c r="A521">
        <v>2919</v>
      </c>
      <c r="B521" s="3">
        <v>3.7635898113618898E-4</v>
      </c>
      <c r="C521" s="3">
        <f>B521*$K$4</f>
        <v>3.7635898113618898E-4</v>
      </c>
      <c r="D521" s="3">
        <f>(E520/$K$1)*$K$2*1</f>
        <v>4.6667986314507116E-4</v>
      </c>
      <c r="E521" s="3">
        <f t="shared" si="16"/>
        <v>5.7828239979395561E-2</v>
      </c>
      <c r="F521" s="3">
        <f>E521/$K$1</f>
        <v>7.1684938613357577E-3</v>
      </c>
      <c r="G521" s="5">
        <f t="shared" si="17"/>
        <v>101325.0388281616</v>
      </c>
    </row>
    <row r="522" spans="1:7" x14ac:dyDescent="0.25">
      <c r="A522">
        <v>2920</v>
      </c>
      <c r="B522" s="3">
        <v>3.6081642898940202E-4</v>
      </c>
      <c r="C522" s="3">
        <f>B522*$K$4</f>
        <v>3.6081642898940202E-4</v>
      </c>
      <c r="D522" s="3">
        <f>(E521/$K$1)*$K$2*1</f>
        <v>4.6595210098682426E-4</v>
      </c>
      <c r="E522" s="3">
        <f t="shared" si="16"/>
        <v>5.7723104307398139E-2</v>
      </c>
      <c r="F522" s="3">
        <f>E522/$K$1</f>
        <v>7.1554610521133181E-3</v>
      </c>
      <c r="G522" s="5">
        <f t="shared" si="17"/>
        <v>101325.0387029425</v>
      </c>
    </row>
    <row r="523" spans="1:7" x14ac:dyDescent="0.25">
      <c r="A523">
        <v>2921</v>
      </c>
      <c r="B523" s="3">
        <v>3.46891108675447E-4</v>
      </c>
      <c r="C523" s="3">
        <f>B523*$K$4</f>
        <v>3.46891108675447E-4</v>
      </c>
      <c r="D523" s="3">
        <f>(E522/$K$1)*$K$2*1</f>
        <v>4.6510496838736567E-4</v>
      </c>
      <c r="E523" s="3">
        <f t="shared" si="16"/>
        <v>5.760489044768622E-2</v>
      </c>
      <c r="F523" s="3">
        <f>E523/$K$1</f>
        <v>7.1408070469426328E-3</v>
      </c>
      <c r="G523" s="5">
        <f t="shared" si="17"/>
        <v>101325.03856458243</v>
      </c>
    </row>
    <row r="524" spans="1:7" x14ac:dyDescent="0.25">
      <c r="A524">
        <v>2922</v>
      </c>
      <c r="B524" s="3">
        <v>3.3466089623414899E-4</v>
      </c>
      <c r="C524" s="3">
        <f>B524*$K$4</f>
        <v>3.3466089623414899E-4</v>
      </c>
      <c r="D524" s="3">
        <f>(E523/$K$1)*$K$2*1</f>
        <v>4.6415245805127113E-4</v>
      </c>
      <c r="E524" s="3">
        <f t="shared" si="16"/>
        <v>5.7475398885869097E-2</v>
      </c>
      <c r="F524" s="3">
        <f>E524/$K$1</f>
        <v>7.1247550372962806E-3</v>
      </c>
      <c r="G524" s="5">
        <f t="shared" si="17"/>
        <v>101325.0384148603</v>
      </c>
    </row>
    <row r="525" spans="1:7" x14ac:dyDescent="0.25">
      <c r="A525">
        <v>2923</v>
      </c>
      <c r="B525" s="3">
        <v>3.2419418797452601E-4</v>
      </c>
      <c r="C525" s="3">
        <f>B525*$K$4</f>
        <v>3.2419418797452601E-4</v>
      </c>
      <c r="D525" s="3">
        <f>(E524/$K$1)*$K$2*1</f>
        <v>4.6310907742425826E-4</v>
      </c>
      <c r="E525" s="3">
        <f t="shared" si="16"/>
        <v>5.7336483996419364E-2</v>
      </c>
      <c r="F525" s="3">
        <f>E525/$K$1</f>
        <v>7.1075348948083997E-3</v>
      </c>
      <c r="G525" s="5">
        <f t="shared" si="17"/>
        <v>101325.03825561266</v>
      </c>
    </row>
    <row r="526" spans="1:7" x14ac:dyDescent="0.25">
      <c r="A526">
        <v>2924</v>
      </c>
      <c r="B526" s="3">
        <v>3.1554951797484898E-4</v>
      </c>
      <c r="C526" s="3">
        <f>B526*$K$4</f>
        <v>3.1554951797484898E-4</v>
      </c>
      <c r="D526" s="3">
        <f>(E525/$K$1)*$K$2*1</f>
        <v>4.6198976816254599E-4</v>
      </c>
      <c r="E526" s="3">
        <f t="shared" si="16"/>
        <v>5.719004374623167E-2</v>
      </c>
      <c r="F526" s="3">
        <f>E526/$K$1</f>
        <v>7.0893818949090952E-3</v>
      </c>
      <c r="G526" s="5">
        <f t="shared" si="17"/>
        <v>101325.03808872344</v>
      </c>
    </row>
    <row r="527" spans="1:7" x14ac:dyDescent="0.25">
      <c r="A527">
        <v>2925</v>
      </c>
      <c r="B527" s="3">
        <v>3.0877523073635999E-4</v>
      </c>
      <c r="C527" s="3">
        <f>B527*$K$4</f>
        <v>3.0877523073635999E-4</v>
      </c>
      <c r="D527" s="3">
        <f>(E526/$K$1)*$K$2*1</f>
        <v>4.6080982316909123E-4</v>
      </c>
      <c r="E527" s="3">
        <f t="shared" si="16"/>
        <v>5.7038009153798939E-2</v>
      </c>
      <c r="F527" s="3">
        <f>E527/$K$1</f>
        <v>7.0705354101647374E-3</v>
      </c>
      <c r="G527" s="5">
        <f t="shared" si="17"/>
        <v>101325.03791611338</v>
      </c>
    </row>
    <row r="528" spans="1:7" x14ac:dyDescent="0.25">
      <c r="A528">
        <v>2926</v>
      </c>
      <c r="B528" s="3">
        <v>3.0390921082120402E-4</v>
      </c>
      <c r="C528" s="3">
        <f>B528*$K$4</f>
        <v>3.0390921082120402E-4</v>
      </c>
      <c r="D528" s="3">
        <f>(E527/$K$1)*$K$2*1</f>
        <v>4.5958480166070795E-4</v>
      </c>
      <c r="E528" s="3">
        <f t="shared" si="16"/>
        <v>5.6882333562959436E-2</v>
      </c>
      <c r="F528" s="3">
        <f>E528/$K$1</f>
        <v>7.0512375806321354E-3</v>
      </c>
      <c r="G528" s="5">
        <f t="shared" si="17"/>
        <v>101325.03773972931</v>
      </c>
    </row>
    <row r="529" spans="1:7" x14ac:dyDescent="0.25">
      <c r="A529">
        <v>2927</v>
      </c>
      <c r="B529" s="3">
        <v>3.0097867098658599E-4</v>
      </c>
      <c r="C529" s="3">
        <f>B529*$K$4</f>
        <v>3.0097867098658599E-4</v>
      </c>
      <c r="D529" s="3">
        <f>(E528/$K$1)*$K$2*1</f>
        <v>4.5833044274108881E-4</v>
      </c>
      <c r="E529" s="3">
        <f t="shared" si="16"/>
        <v>5.6724981791204936E-2</v>
      </c>
      <c r="F529" s="3">
        <f>E529/$K$1</f>
        <v>7.0317319686630632E-3</v>
      </c>
      <c r="G529" s="5">
        <f t="shared" si="17"/>
        <v>101325.03756153316</v>
      </c>
    </row>
    <row r="530" spans="1:7" x14ac:dyDescent="0.25">
      <c r="A530">
        <v>2928</v>
      </c>
      <c r="B530" s="3">
        <v>2.9999999999999997E-4</v>
      </c>
      <c r="C530" s="3">
        <f>B530*$K$4</f>
        <v>2.9999999999999997E-4</v>
      </c>
      <c r="D530" s="3">
        <f>(E529/$K$1)*$K$2*1</f>
        <v>4.5706257796309914E-4</v>
      </c>
      <c r="E530" s="3">
        <f t="shared" si="16"/>
        <v>5.6567919213241835E-2</v>
      </c>
      <c r="F530" s="3">
        <f>E530/$K$1</f>
        <v>7.0122622056826367E-3</v>
      </c>
      <c r="G530" s="5">
        <f t="shared" si="17"/>
        <v>101325.03738349094</v>
      </c>
    </row>
    <row r="531" spans="1:7" x14ac:dyDescent="0.25">
      <c r="A531">
        <v>2929</v>
      </c>
      <c r="B531" s="3">
        <v>3.0059214460505598E-4</v>
      </c>
      <c r="C531" s="3">
        <f>B531*$K$4</f>
        <v>3.0059214460505598E-4</v>
      </c>
      <c r="D531" s="3">
        <f>(E530/$K$1)*$K$2*1</f>
        <v>4.5579704336937138E-4</v>
      </c>
      <c r="E531" s="3">
        <f t="shared" si="16"/>
        <v>5.6412714314477523E-2</v>
      </c>
      <c r="F531" s="3">
        <f>E531/$K$1</f>
        <v>6.9930227239962221E-3</v>
      </c>
      <c r="G531" s="5">
        <f t="shared" si="17"/>
        <v>101325.03720717518</v>
      </c>
    </row>
    <row r="532" spans="1:7" x14ac:dyDescent="0.25">
      <c r="A532">
        <v>2930</v>
      </c>
      <c r="B532" s="3">
        <v>3.0236657479031998E-4</v>
      </c>
      <c r="C532" s="3">
        <f>B532*$K$4</f>
        <v>3.0236657479031998E-4</v>
      </c>
      <c r="D532" s="3">
        <f>(E531/$K$1)*$K$2*1</f>
        <v>4.5454647705975445E-4</v>
      </c>
      <c r="E532" s="3">
        <f t="shared" si="16"/>
        <v>5.6260534412208088E-2</v>
      </c>
      <c r="F532" s="3">
        <f>E532/$K$1</f>
        <v>6.9741582263800773E-3</v>
      </c>
      <c r="G532" s="5">
        <f t="shared" si="17"/>
        <v>101325.03703375981</v>
      </c>
    </row>
    <row r="533" spans="1:7" x14ac:dyDescent="0.25">
      <c r="A533">
        <v>2931</v>
      </c>
      <c r="B533" s="3">
        <v>3.0531728644572802E-4</v>
      </c>
      <c r="C533" s="3">
        <f>B533*$K$4</f>
        <v>3.0531728644572802E-4</v>
      </c>
      <c r="D533" s="3">
        <f>(E532/$K$1)*$K$2*1</f>
        <v>4.5332028471470505E-4</v>
      </c>
      <c r="E533" s="3">
        <f t="shared" si="16"/>
        <v>5.6112531413939112E-2</v>
      </c>
      <c r="F533" s="3">
        <f>E533/$K$1</f>
        <v>6.9558115053847914E-3</v>
      </c>
      <c r="G533" s="5">
        <f t="shared" si="17"/>
        <v>101325.03686440522</v>
      </c>
    </row>
    <row r="534" spans="1:7" x14ac:dyDescent="0.25">
      <c r="A534">
        <v>2932</v>
      </c>
      <c r="B534" s="3">
        <v>3.0943429529706201E-4</v>
      </c>
      <c r="C534" s="3">
        <f>B534*$K$4</f>
        <v>3.0943429529706201E-4</v>
      </c>
      <c r="D534" s="3">
        <f>(E533/$K$1)*$K$2*1</f>
        <v>4.5212774785001144E-4</v>
      </c>
      <c r="E534" s="3">
        <f t="shared" si="16"/>
        <v>5.596983796138616E-2</v>
      </c>
      <c r="F534" s="3">
        <f>E534/$K$1</f>
        <v>6.9381229653385596E-3</v>
      </c>
      <c r="G534" s="5">
        <f t="shared" si="17"/>
        <v>101325.03670025422</v>
      </c>
    </row>
    <row r="535" spans="1:7" x14ac:dyDescent="0.25">
      <c r="A535">
        <v>2933</v>
      </c>
      <c r="B535" s="3">
        <v>3.1470367068957901E-4</v>
      </c>
      <c r="C535" s="3">
        <f>B535*$K$4</f>
        <v>3.1470367068957901E-4</v>
      </c>
      <c r="D535" s="3">
        <f>(E534/$K$1)*$K$2*1</f>
        <v>4.5097799274700637E-4</v>
      </c>
      <c r="E535" s="3">
        <f t="shared" si="16"/>
        <v>5.5833563639328732E-2</v>
      </c>
      <c r="F535" s="3">
        <f>E535/$K$1</f>
        <v>6.9212301523898269E-3</v>
      </c>
      <c r="G535" s="5">
        <f t="shared" si="17"/>
        <v>101325.03654242816</v>
      </c>
    </row>
    <row r="536" spans="1:7" x14ac:dyDescent="0.25">
      <c r="A536">
        <v>2934</v>
      </c>
      <c r="B536" s="3">
        <v>3.21107582724932E-4</v>
      </c>
      <c r="C536" s="3">
        <f>B536*$K$4</f>
        <v>3.21107582724932E-4</v>
      </c>
      <c r="D536" s="3">
        <f>(E535/$K$1)*$K$2*1</f>
        <v>4.4987995990533879E-4</v>
      </c>
      <c r="E536" s="3">
        <f t="shared" si="16"/>
        <v>5.5704791262148327E-2</v>
      </c>
      <c r="F536" s="3">
        <f>E536/$K$1</f>
        <v>6.9052672941797852E-3</v>
      </c>
      <c r="G536" s="5">
        <f t="shared" si="17"/>
        <v>101325.03639202315</v>
      </c>
    </row>
    <row r="537" spans="1:7" x14ac:dyDescent="0.25">
      <c r="A537">
        <v>2935</v>
      </c>
      <c r="B537" s="3">
        <v>3.28624362591904E-4</v>
      </c>
      <c r="C537" s="3">
        <f>B537*$K$4</f>
        <v>3.28624362591904E-4</v>
      </c>
      <c r="D537" s="3">
        <f>(E536/$K$1)*$K$2*1</f>
        <v>4.4884237412168607E-4</v>
      </c>
      <c r="E537" s="3">
        <f t="shared" si="16"/>
        <v>5.5584573250618552E-2</v>
      </c>
      <c r="F537" s="3">
        <f>E537/$K$1</f>
        <v>6.890364850702684E-3</v>
      </c>
      <c r="G537" s="5">
        <f t="shared" si="17"/>
        <v>101325.03625010625</v>
      </c>
    </row>
    <row r="538" spans="1:7" x14ac:dyDescent="0.25">
      <c r="A538">
        <v>2936</v>
      </c>
      <c r="B538" s="3">
        <v>3.37228575886805E-4</v>
      </c>
      <c r="C538" s="3">
        <f>B538*$K$4</f>
        <v>3.37228575886805E-4</v>
      </c>
      <c r="D538" s="3">
        <f>(E537/$K$1)*$K$2*1</f>
        <v>4.4787371529567447E-4</v>
      </c>
      <c r="E538" s="3">
        <f t="shared" si="16"/>
        <v>5.5473928111209686E-2</v>
      </c>
      <c r="F538" s="3">
        <f>E538/$K$1</f>
        <v>6.8766490778740157E-3</v>
      </c>
      <c r="G538" s="5">
        <f t="shared" si="17"/>
        <v>101325.03611771195</v>
      </c>
    </row>
    <row r="539" spans="1:7" x14ac:dyDescent="0.25">
      <c r="A539">
        <v>2937</v>
      </c>
      <c r="B539" s="3">
        <v>3.4689110867544901E-4</v>
      </c>
      <c r="C539" s="3">
        <f>B539*$K$4</f>
        <v>3.4689110867544901E-4</v>
      </c>
      <c r="D539" s="3">
        <f>(E538/$K$1)*$K$2*1</f>
        <v>4.4698219006181103E-4</v>
      </c>
      <c r="E539" s="3">
        <f t="shared" si="16"/>
        <v>5.537383702982332E-2</v>
      </c>
      <c r="F539" s="3">
        <f>E539/$K$1</f>
        <v>6.8642416052836644E-3</v>
      </c>
      <c r="G539" s="5">
        <f t="shared" si="17"/>
        <v>101325.03599583855</v>
      </c>
    </row>
    <row r="540" spans="1:7" x14ac:dyDescent="0.25">
      <c r="A540">
        <v>2938</v>
      </c>
      <c r="B540" s="3">
        <v>3.5757926600547401E-4</v>
      </c>
      <c r="C540" s="3">
        <f>B540*$K$4</f>
        <v>3.5757926600547401E-4</v>
      </c>
      <c r="D540" s="3">
        <f>(E539/$K$1)*$K$2*1</f>
        <v>4.4617570434343822E-4</v>
      </c>
      <c r="E540" s="3">
        <f t="shared" si="16"/>
        <v>5.5285240591485353E-2</v>
      </c>
      <c r="F540" s="3">
        <f>E540/$K$1</f>
        <v>6.8532590295630781E-3</v>
      </c>
      <c r="G540" s="5">
        <f t="shared" si="17"/>
        <v>101325.03588544487</v>
      </c>
    </row>
    <row r="541" spans="1:7" x14ac:dyDescent="0.25">
      <c r="A541">
        <v>2939</v>
      </c>
      <c r="B541" s="3">
        <v>3.69256882535736E-4</v>
      </c>
      <c r="C541" s="3">
        <f>B541*$K$4</f>
        <v>3.69256882535736E-4</v>
      </c>
      <c r="D541" s="3">
        <f>(E540/$K$1)*$K$2*1</f>
        <v>4.4546183692160008E-4</v>
      </c>
      <c r="E541" s="3">
        <f t="shared" si="16"/>
        <v>5.5209035637099488E-2</v>
      </c>
      <c r="F541" s="3">
        <f>E541/$K$1</f>
        <v>6.8438125247427158E-3</v>
      </c>
      <c r="G541" s="5">
        <f t="shared" si="17"/>
        <v>101325.03578744696</v>
      </c>
    </row>
    <row r="542" spans="1:7" x14ac:dyDescent="0.25">
      <c r="A542">
        <v>2940</v>
      </c>
      <c r="B542" s="3">
        <v>3.8188444490835802E-4</v>
      </c>
      <c r="C542" s="3">
        <f>B542*$K$4</f>
        <v>3.8188444490835802E-4</v>
      </c>
      <c r="D542" s="3">
        <f>(E541/$K$1)*$K$2*1</f>
        <v>4.4484781410827657E-4</v>
      </c>
      <c r="E542" s="3">
        <f t="shared" si="16"/>
        <v>5.5146072267899568E-2</v>
      </c>
      <c r="F542" s="3">
        <f>E542/$K$1</f>
        <v>6.8360074709185037E-3</v>
      </c>
      <c r="G542" s="5">
        <f t="shared" si="17"/>
        <v>101325.03570271505</v>
      </c>
    </row>
    <row r="543" spans="1:7" x14ac:dyDescent="0.25">
      <c r="A543">
        <v>2941</v>
      </c>
      <c r="B543" s="3">
        <v>3.9541922544943298E-4</v>
      </c>
      <c r="C543" s="3">
        <f>B543*$K$4</f>
        <v>3.9541922544943298E-4</v>
      </c>
      <c r="D543" s="3">
        <f>(E542/$K$1)*$K$2*1</f>
        <v>4.4434048560970278E-4</v>
      </c>
      <c r="E543" s="3">
        <f t="shared" si="16"/>
        <v>5.5097151007739299E-2</v>
      </c>
      <c r="F543" s="3">
        <f>E543/$K$1</f>
        <v>6.8299431024841078E-3</v>
      </c>
      <c r="G543" s="5">
        <f t="shared" si="17"/>
        <v>101325.03563207062</v>
      </c>
    </row>
    <row r="544" spans="1:7" x14ac:dyDescent="0.25">
      <c r="A544">
        <v>2942</v>
      </c>
      <c r="B544" s="3">
        <v>4.0981542674594197E-4</v>
      </c>
      <c r="C544" s="3">
        <f>B544*$K$4</f>
        <v>4.0981542674594197E-4</v>
      </c>
      <c r="D544" s="3">
        <f>(E543/$K$1)*$K$2*1</f>
        <v>4.4394630166146704E-4</v>
      </c>
      <c r="E544" s="3">
        <f t="shared" si="16"/>
        <v>5.5063020132823777E-2</v>
      </c>
      <c r="F544" s="3">
        <f>E544/$K$1</f>
        <v>6.8257121771195953E-3</v>
      </c>
      <c r="G544" s="5">
        <f t="shared" si="17"/>
        <v>101325.03557628373</v>
      </c>
    </row>
    <row r="545" spans="1:7" x14ac:dyDescent="0.25">
      <c r="A545">
        <v>2943</v>
      </c>
      <c r="B545" s="3">
        <v>4.2502433660970899E-4</v>
      </c>
      <c r="C545" s="3">
        <f>B545*$K$4</f>
        <v>4.2502433660970899E-4</v>
      </c>
      <c r="D545" s="3">
        <f>(E544/$K$1)*$K$2*1</f>
        <v>4.4367129151277369E-4</v>
      </c>
      <c r="E545" s="3">
        <f t="shared" si="16"/>
        <v>5.5044373177920713E-2</v>
      </c>
      <c r="F545" s="3">
        <f>E545/$K$1</f>
        <v>6.8234006666568377E-3</v>
      </c>
      <c r="G545" s="5">
        <f t="shared" si="17"/>
        <v>101325.03553607037</v>
      </c>
    </row>
    <row r="546" spans="1:7" x14ac:dyDescent="0.25">
      <c r="A546">
        <v>2944</v>
      </c>
      <c r="B546" s="3">
        <v>4.4099449290402901E-4</v>
      </c>
      <c r="C546" s="3">
        <f>B546*$K$4</f>
        <v>4.4099449290402901E-4</v>
      </c>
      <c r="D546" s="3">
        <f>(E545/$K$1)*$K$2*1</f>
        <v>4.4352104333269447E-4</v>
      </c>
      <c r="E546" s="3">
        <f t="shared" si="16"/>
        <v>5.504184662749205E-2</v>
      </c>
      <c r="F546" s="3">
        <f>E546/$K$1</f>
        <v>6.8230874708679863E-3</v>
      </c>
      <c r="G546" s="5">
        <f t="shared" si="17"/>
        <v>101325.03551209018</v>
      </c>
    </row>
    <row r="547" spans="1:7" x14ac:dyDescent="0.25">
      <c r="A547">
        <v>2945</v>
      </c>
      <c r="B547" s="3">
        <v>4.5767185767522098E-4</v>
      </c>
      <c r="C547" s="3">
        <f>B547*$K$4</f>
        <v>4.5767185767522098E-4</v>
      </c>
      <c r="D547" s="3">
        <f>(E546/$K$1)*$K$2*1</f>
        <v>4.4350068560641912E-4</v>
      </c>
      <c r="E547" s="3">
        <f t="shared" si="16"/>
        <v>5.5056017799560854E-2</v>
      </c>
      <c r="F547" s="3">
        <f>E547/$K$1</f>
        <v>6.8248441551457609E-3</v>
      </c>
      <c r="G547" s="5">
        <f t="shared" si="17"/>
        <v>101325.03550494427</v>
      </c>
    </row>
    <row r="548" spans="1:7" x14ac:dyDescent="0.25">
      <c r="A548">
        <v>2946</v>
      </c>
      <c r="B548" s="3">
        <v>4.75000000000002E-4</v>
      </c>
      <c r="C548" s="3">
        <f>B548*$K$4</f>
        <v>4.75000000000002E-4</v>
      </c>
      <c r="D548" s="3">
        <f>(E547/$K$1)*$K$2*1</f>
        <v>4.4361487008447447E-4</v>
      </c>
      <c r="E548" s="3">
        <f t="shared" si="16"/>
        <v>5.5087402929476385E-2</v>
      </c>
      <c r="F548" s="3">
        <f>E548/$K$1</f>
        <v>6.8287347129634786E-3</v>
      </c>
      <c r="G548" s="5">
        <f t="shared" si="17"/>
        <v>101325.03551517327</v>
      </c>
    </row>
    <row r="549" spans="1:7" x14ac:dyDescent="0.25">
      <c r="A549">
        <v>2947</v>
      </c>
      <c r="B549" s="3">
        <v>4.9292028692983904E-4</v>
      </c>
      <c r="C549" s="3">
        <f>B549*$K$4</f>
        <v>4.9292028692983904E-4</v>
      </c>
      <c r="D549" s="3">
        <f>(E548/$K$1)*$K$2*1</f>
        <v>4.4386775634262614E-4</v>
      </c>
      <c r="E549" s="3">
        <f t="shared" si="16"/>
        <v>5.5136455460063599E-2</v>
      </c>
      <c r="F549" s="3">
        <f>E549/$K$1</f>
        <v>6.8348153539188787E-3</v>
      </c>
      <c r="G549" s="5">
        <f t="shared" si="17"/>
        <v>101325.03554325561</v>
      </c>
    </row>
    <row r="550" spans="1:7" x14ac:dyDescent="0.25">
      <c r="A550">
        <v>2948</v>
      </c>
      <c r="B550" s="3">
        <v>5.1137208188629501E-4</v>
      </c>
      <c r="C550" s="3">
        <f>B550*$K$4</f>
        <v>5.1137208188629501E-4</v>
      </c>
      <c r="D550" s="3">
        <f>(E549/$K$1)*$K$2*1</f>
        <v>4.4426299800472715E-4</v>
      </c>
      <c r="E550" s="3">
        <f t="shared" si="16"/>
        <v>5.5203564543945163E-2</v>
      </c>
      <c r="F550" s="3">
        <f>E550/$K$1</f>
        <v>6.8431343180792321E-3</v>
      </c>
      <c r="G550" s="5">
        <f t="shared" si="17"/>
        <v>101325.03558960601</v>
      </c>
    </row>
    <row r="551" spans="1:7" x14ac:dyDescent="0.25">
      <c r="A551">
        <v>2949</v>
      </c>
      <c r="B551" s="3">
        <v>5.3029294983601499E-4</v>
      </c>
      <c r="C551" s="3">
        <f>B551*$K$4</f>
        <v>5.3029294983601499E-4</v>
      </c>
      <c r="D551" s="3">
        <f>(E550/$K$1)*$K$2*1</f>
        <v>4.4480373067515012E-4</v>
      </c>
      <c r="E551" s="3">
        <f t="shared" si="16"/>
        <v>5.5289053763106027E-2</v>
      </c>
      <c r="F551" s="3">
        <f>E551/$K$1</f>
        <v>6.8537317172562328E-3</v>
      </c>
      <c r="G551" s="5">
        <f t="shared" si="17"/>
        <v>101325.03565457417</v>
      </c>
    </row>
    <row r="552" spans="1:7" x14ac:dyDescent="0.25">
      <c r="A552">
        <v>2950</v>
      </c>
      <c r="B552" s="3">
        <v>5.4961886855111599E-4</v>
      </c>
      <c r="C552" s="3">
        <f>B552*$K$4</f>
        <v>5.4961886855111599E-4</v>
      </c>
      <c r="D552" s="3">
        <f>(E551/$K$1)*$K$2*1</f>
        <v>4.4549256162165513E-4</v>
      </c>
      <c r="E552" s="3">
        <f t="shared" si="16"/>
        <v>5.5393180070035485E-2</v>
      </c>
      <c r="F552" s="3">
        <f>E552/$K$1</f>
        <v>6.8666394037480453E-3</v>
      </c>
      <c r="G552" s="5">
        <f t="shared" si="17"/>
        <v>101325.03573844371</v>
      </c>
    </row>
    <row r="553" spans="1:7" x14ac:dyDescent="0.25">
      <c r="A553">
        <v>2951</v>
      </c>
      <c r="B553" s="3">
        <v>5.6928444524014204E-4</v>
      </c>
      <c r="C553" s="3">
        <f>B553*$K$4</f>
        <v>5.6928444524014204E-4</v>
      </c>
      <c r="D553" s="3">
        <f>(E552/$K$1)*$K$2*1</f>
        <v>4.4633156124362298E-4</v>
      </c>
      <c r="E553" s="3">
        <f t="shared" si="16"/>
        <v>5.5516132954032002E-2</v>
      </c>
      <c r="F553" s="3">
        <f>E553/$K$1</f>
        <v>6.881880866992934E-3</v>
      </c>
      <c r="G553" s="5">
        <f t="shared" si="17"/>
        <v>101325.03584143137</v>
      </c>
    </row>
    <row r="554" spans="1:7" x14ac:dyDescent="0.25">
      <c r="A554">
        <v>2952</v>
      </c>
      <c r="B554" s="3">
        <v>5.8922313781657797E-4</v>
      </c>
      <c r="C554" s="3">
        <f>B554*$K$4</f>
        <v>5.8922313781657797E-4</v>
      </c>
      <c r="D554" s="3">
        <f>(E553/$K$1)*$K$2*1</f>
        <v>4.4732225635454073E-4</v>
      </c>
      <c r="E554" s="3">
        <f t="shared" si="16"/>
        <v>5.5658033835494038E-2</v>
      </c>
      <c r="F554" s="3">
        <f>E554/$K$1</f>
        <v>6.8994711584844477E-3</v>
      </c>
      <c r="G554" s="5">
        <f t="shared" si="17"/>
        <v>101325.03596368634</v>
      </c>
    </row>
    <row r="555" spans="1:7" x14ac:dyDescent="0.25">
      <c r="A555">
        <v>2953</v>
      </c>
      <c r="B555" s="3">
        <v>6.0936748005617199E-4</v>
      </c>
      <c r="C555" s="3">
        <f>B555*$K$4</f>
        <v>6.0936748005617199E-4</v>
      </c>
      <c r="D555" s="3">
        <f>(E554/$K$1)*$K$2*1</f>
        <v>4.4846562530148913E-4</v>
      </c>
      <c r="E555" s="3">
        <f t="shared" si="16"/>
        <v>5.5818935690248726E-2</v>
      </c>
      <c r="F555" s="3">
        <f>E555/$K$1</f>
        <v>6.9194168452025194E-3</v>
      </c>
      <c r="G555" s="5">
        <f t="shared" si="17"/>
        <v>101325.03610528991</v>
      </c>
    </row>
    <row r="556" spans="1:7" x14ac:dyDescent="0.25">
      <c r="A556">
        <v>2954</v>
      </c>
      <c r="B556" s="3">
        <v>6.2964930988133395E-4</v>
      </c>
      <c r="C556" s="3">
        <f>B556*$K$4</f>
        <v>6.2964930988133395E-4</v>
      </c>
      <c r="D556" s="3">
        <f>(E555/$K$1)*$K$2*1</f>
        <v>4.4976209493816376E-4</v>
      </c>
      <c r="E556" s="3">
        <f t="shared" si="16"/>
        <v>5.5998822905191897E-2</v>
      </c>
      <c r="F556" s="3">
        <f>E556/$K$1</f>
        <v>6.9417159917183457E-3</v>
      </c>
      <c r="G556" s="5">
        <f t="shared" si="17"/>
        <v>101325.03626625534</v>
      </c>
    </row>
    <row r="557" spans="1:7" x14ac:dyDescent="0.25">
      <c r="A557">
        <v>2955</v>
      </c>
      <c r="B557" s="3">
        <v>6.4999999999999997E-4</v>
      </c>
      <c r="C557" s="3">
        <f>B557*$K$4</f>
        <v>6.4999999999999997E-4</v>
      </c>
      <c r="D557" s="3">
        <f>(E556/$K$1)*$K$2*1</f>
        <v>4.5121153946169247E-4</v>
      </c>
      <c r="E557" s="3">
        <f t="shared" si="16"/>
        <v>5.6197611365730205E-2</v>
      </c>
      <c r="F557" s="3">
        <f>E557/$K$1</f>
        <v>6.9663581710338665E-3</v>
      </c>
      <c r="G557" s="5">
        <f t="shared" si="17"/>
        <v>101325.03644652787</v>
      </c>
    </row>
    <row r="558" spans="1:7" x14ac:dyDescent="0.25">
      <c r="A558">
        <v>2956</v>
      </c>
      <c r="B558" s="3">
        <v>6.7035069011866502E-4</v>
      </c>
      <c r="C558" s="3">
        <f>B558*$K$4</f>
        <v>6.7035069011866502E-4</v>
      </c>
      <c r="D558" s="3">
        <f>(E557/$K$1)*$K$2*1</f>
        <v>4.5281328111720134E-4</v>
      </c>
      <c r="E558" s="3">
        <f t="shared" si="16"/>
        <v>5.6415148774731666E-2</v>
      </c>
      <c r="F558" s="3">
        <f>E558/$K$1</f>
        <v>6.9933245041194575E-3</v>
      </c>
      <c r="G558" s="5">
        <f t="shared" si="17"/>
        <v>101325.03664598508</v>
      </c>
    </row>
    <row r="559" spans="1:7" x14ac:dyDescent="0.25">
      <c r="A559">
        <v>2957</v>
      </c>
      <c r="B559" s="3">
        <v>6.9063251994382795E-4</v>
      </c>
      <c r="C559" s="3">
        <f>B559*$K$4</f>
        <v>6.9063251994382795E-4</v>
      </c>
      <c r="D559" s="3">
        <f>(E558/$K$1)*$K$2*1</f>
        <v>4.5456609276776477E-4</v>
      </c>
      <c r="E559" s="3">
        <f t="shared" si="16"/>
        <v>5.6651215201907731E-2</v>
      </c>
      <c r="F559" s="3">
        <f>E559/$K$1</f>
        <v>7.0225877280163298E-3</v>
      </c>
      <c r="G559" s="5">
        <f t="shared" si="17"/>
        <v>101325.03686443735</v>
      </c>
    </row>
    <row r="560" spans="1:7" x14ac:dyDescent="0.25">
      <c r="A560">
        <v>2958</v>
      </c>
      <c r="B560" s="3">
        <v>7.10776862183421E-4</v>
      </c>
      <c r="C560" s="3">
        <f>B560*$K$4</f>
        <v>7.10776862183421E-4</v>
      </c>
      <c r="D560" s="3">
        <f>(E559/$K$1)*$K$2*1</f>
        <v>4.5646820232106146E-4</v>
      </c>
      <c r="E560" s="3">
        <f t="shared" si="16"/>
        <v>5.6905523861770085E-2</v>
      </c>
      <c r="F560" s="3">
        <f>E560/$K$1</f>
        <v>7.0541122922734706E-3</v>
      </c>
      <c r="G560" s="5">
        <f t="shared" si="17"/>
        <v>101325.0371016287</v>
      </c>
    </row>
    <row r="561" spans="1:7" x14ac:dyDescent="0.25">
      <c r="A561">
        <v>2959</v>
      </c>
      <c r="B561" s="3">
        <v>7.3071555475985703E-4</v>
      </c>
      <c r="C561" s="3">
        <f>B561*$K$4</f>
        <v>7.3071555475985703E-4</v>
      </c>
      <c r="D561" s="3">
        <f>(E560/$K$1)*$K$2*1</f>
        <v>4.5851729899777562E-4</v>
      </c>
      <c r="E561" s="3">
        <f t="shared" si="16"/>
        <v>5.7177722117532165E-2</v>
      </c>
      <c r="F561" s="3">
        <f>E561/$K$1</f>
        <v>7.0878544833931035E-3</v>
      </c>
      <c r="G561" s="5">
        <f t="shared" si="17"/>
        <v>101325.03735723763</v>
      </c>
    </row>
    <row r="562" spans="1:7" x14ac:dyDescent="0.25">
      <c r="A562">
        <v>2960</v>
      </c>
      <c r="B562" s="3">
        <v>7.5038113144888297E-4</v>
      </c>
      <c r="C562" s="3">
        <f>B562*$K$4</f>
        <v>7.5038113144888297E-4</v>
      </c>
      <c r="D562" s="3">
        <f>(E561/$K$1)*$K$2*1</f>
        <v>4.6071054142055176E-4</v>
      </c>
      <c r="E562" s="3">
        <f t="shared" si="16"/>
        <v>5.7467392707560495E-2</v>
      </c>
      <c r="F562" s="3">
        <f>E562/$K$1</f>
        <v>7.1237625768638272E-3</v>
      </c>
      <c r="G562" s="5">
        <f t="shared" si="17"/>
        <v>101325.03763087833</v>
      </c>
    </row>
    <row r="563" spans="1:7" x14ac:dyDescent="0.25">
      <c r="A563">
        <v>2961</v>
      </c>
      <c r="B563" s="3">
        <v>7.6970705016398398E-4</v>
      </c>
      <c r="C563" s="3">
        <f>B563*$K$4</f>
        <v>7.6970705016398398E-4</v>
      </c>
      <c r="D563" s="3">
        <f>(E562/$K$1)*$K$2*1</f>
        <v>4.6304456749614878E-4</v>
      </c>
      <c r="E563" s="3">
        <f t="shared" si="16"/>
        <v>5.7774055190228331E-2</v>
      </c>
      <c r="F563" s="3">
        <f>E563/$K$1</f>
        <v>7.1617770162673029E-3</v>
      </c>
      <c r="G563" s="5">
        <f t="shared" si="17"/>
        <v>101325.03792210208</v>
      </c>
    </row>
    <row r="564" spans="1:7" x14ac:dyDescent="0.25">
      <c r="A564">
        <v>2962</v>
      </c>
      <c r="B564" s="3">
        <v>7.8862791811370396E-4</v>
      </c>
      <c r="C564" s="3">
        <f>B564*$K$4</f>
        <v>7.8862791811370396E-4</v>
      </c>
      <c r="D564" s="3">
        <f>(E563/$K$1)*$K$2*1</f>
        <v>4.6551550605737472E-4</v>
      </c>
      <c r="E564" s="3">
        <f t="shared" si="16"/>
        <v>5.8097167602284658E-2</v>
      </c>
      <c r="F564" s="3">
        <f>E564/$K$1</f>
        <v>7.2018306188526907E-3</v>
      </c>
      <c r="G564" s="5">
        <f t="shared" si="17"/>
        <v>101325.0382303988</v>
      </c>
    </row>
    <row r="565" spans="1:7" x14ac:dyDescent="0.25">
      <c r="A565">
        <v>2963</v>
      </c>
      <c r="B565" s="3">
        <v>8.0707971307016004E-4</v>
      </c>
      <c r="C565" s="3">
        <f>B565*$K$4</f>
        <v>8.0707971307016004E-4</v>
      </c>
      <c r="D565" s="3">
        <f>(E564/$K$1)*$K$2*1</f>
        <v>4.6811899022542488E-4</v>
      </c>
      <c r="E565" s="3">
        <f t="shared" si="16"/>
        <v>5.8436128325129393E-2</v>
      </c>
      <c r="F565" s="3">
        <f>E565/$K$1</f>
        <v>7.2438488068835242E-3</v>
      </c>
      <c r="G565" s="5">
        <f t="shared" si="17"/>
        <v>101325.03855519879</v>
      </c>
    </row>
    <row r="566" spans="1:7" x14ac:dyDescent="0.25">
      <c r="A566">
        <v>2964</v>
      </c>
      <c r="B566" s="3">
        <v>8.2499999999999696E-4</v>
      </c>
      <c r="C566" s="3">
        <f>B566*$K$4</f>
        <v>8.2499999999999696E-4</v>
      </c>
      <c r="D566" s="3">
        <f>(E565/$K$1)*$K$2*1</f>
        <v>4.7085017244742909E-4</v>
      </c>
      <c r="E566" s="3">
        <f t="shared" si="16"/>
        <v>5.8790278152681966E-2</v>
      </c>
      <c r="F566" s="3">
        <f>E566/$K$1</f>
        <v>7.2877498639744593E-3</v>
      </c>
      <c r="G566" s="5">
        <f t="shared" si="17"/>
        <v>101325.03889587469</v>
      </c>
    </row>
    <row r="567" spans="1:7" x14ac:dyDescent="0.25">
      <c r="A567">
        <v>2965</v>
      </c>
      <c r="B567" s="3">
        <v>8.4232814232477798E-4</v>
      </c>
      <c r="C567" s="3">
        <f>B567*$K$4</f>
        <v>8.4232814232477798E-4</v>
      </c>
      <c r="D567" s="3">
        <f>(E566/$K$1)*$K$2*1</f>
        <v>4.7370374115833985E-4</v>
      </c>
      <c r="E567" s="3">
        <f t="shared" si="16"/>
        <v>5.9158902553848404E-2</v>
      </c>
      <c r="F567" s="3">
        <f>E567/$K$1</f>
        <v>7.3334452155508125E-3</v>
      </c>
      <c r="G567" s="5">
        <f t="shared" si="17"/>
        <v>101325.03925174368</v>
      </c>
    </row>
    <row r="568" spans="1:7" x14ac:dyDescent="0.25">
      <c r="A568">
        <v>2966</v>
      </c>
      <c r="B568" s="3">
        <v>8.5900550709596996E-4</v>
      </c>
      <c r="C568" s="3">
        <f>B568*$K$4</f>
        <v>8.5900550709596996E-4</v>
      </c>
      <c r="D568" s="3">
        <f>(E567/$K$1)*$K$2*1</f>
        <v>4.7667393901080281E-4</v>
      </c>
      <c r="E568" s="3">
        <f t="shared" si="16"/>
        <v>5.9541234121933573E-2</v>
      </c>
      <c r="F568" s="3">
        <f>E568/$K$1</f>
        <v>7.3808397324821584E-3</v>
      </c>
      <c r="G568" s="5">
        <f t="shared" si="17"/>
        <v>101325.03962206974</v>
      </c>
    </row>
    <row r="569" spans="1:7" x14ac:dyDescent="0.25">
      <c r="A569">
        <v>2967</v>
      </c>
      <c r="B569" s="3">
        <v>8.7497566339029002E-4</v>
      </c>
      <c r="C569" s="3">
        <f>B569*$K$4</f>
        <v>8.7497566339029002E-4</v>
      </c>
      <c r="D569" s="3">
        <f>(E568/$K$1)*$K$2*1</f>
        <v>4.7975458261134029E-4</v>
      </c>
      <c r="E569" s="3">
        <f t="shared" si="16"/>
        <v>5.993645520271252E-2</v>
      </c>
      <c r="F569" s="3">
        <f>E569/$K$1</f>
        <v>7.4298320568628382E-3</v>
      </c>
      <c r="G569" s="5">
        <f t="shared" si="17"/>
        <v>101325.0400060661</v>
      </c>
    </row>
    <row r="570" spans="1:7" x14ac:dyDescent="0.25">
      <c r="A570">
        <v>2968</v>
      </c>
      <c r="B570" s="3">
        <v>8.9018457325405699E-4</v>
      </c>
      <c r="C570" s="3">
        <f>B570*$K$4</f>
        <v>8.9018457325405699E-4</v>
      </c>
      <c r="D570" s="3">
        <f>(E569/$K$1)*$K$2*1</f>
        <v>4.8293908369608451E-4</v>
      </c>
      <c r="E570" s="3">
        <f t="shared" si="16"/>
        <v>6.0343700692270491E-2</v>
      </c>
      <c r="F570" s="3">
        <f>E570/$K$1</f>
        <v>7.4803149488372987E-3</v>
      </c>
      <c r="G570" s="5">
        <f t="shared" si="17"/>
        <v>101325.04040289795</v>
      </c>
    </row>
    <row r="571" spans="1:7" x14ac:dyDescent="0.25">
      <c r="A571">
        <v>2969</v>
      </c>
      <c r="B571" s="3">
        <v>9.0458077455056604E-4</v>
      </c>
      <c r="C571" s="3">
        <f>B571*$K$4</f>
        <v>9.0458077455056604E-4</v>
      </c>
      <c r="D571" s="3">
        <f>(E570/$K$1)*$K$2*1</f>
        <v>4.8622047167442444E-4</v>
      </c>
      <c r="E571" s="3">
        <f t="shared" si="16"/>
        <v>6.0762060995146631E-2</v>
      </c>
      <c r="F571" s="3">
        <f>E571/$K$1</f>
        <v>7.5321756532969663E-3</v>
      </c>
      <c r="G571" s="5">
        <f t="shared" si="17"/>
        <v>101325.04081168519</v>
      </c>
    </row>
    <row r="572" spans="1:7" x14ac:dyDescent="0.25">
      <c r="A572">
        <v>2970</v>
      </c>
      <c r="B572" s="3">
        <v>9.18115555091641E-4</v>
      </c>
      <c r="C572" s="3">
        <f>B572*$K$4</f>
        <v>9.18115555091641E-4</v>
      </c>
      <c r="D572" s="3">
        <f>(E571/$K$1)*$K$2*1</f>
        <v>4.8959141746430287E-4</v>
      </c>
      <c r="E572" s="3">
        <f t="shared" si="16"/>
        <v>6.1190585132773971E-2</v>
      </c>
      <c r="F572" s="3">
        <f>E572/$K$1</f>
        <v>7.585296285208128E-3</v>
      </c>
      <c r="G572" s="5">
        <f t="shared" si="17"/>
        <v>101325.04123150537</v>
      </c>
    </row>
    <row r="573" spans="1:7" x14ac:dyDescent="0.25">
      <c r="A573">
        <v>2971</v>
      </c>
      <c r="B573" s="3">
        <v>9.3074311746426297E-4</v>
      </c>
      <c r="C573" s="3">
        <f>B573*$K$4</f>
        <v>9.3074311746426297E-4</v>
      </c>
      <c r="D573" s="3">
        <f>(E572/$K$1)*$K$2*1</f>
        <v>4.9304425853852836E-4</v>
      </c>
      <c r="E573" s="3">
        <f t="shared" si="16"/>
        <v>6.1628283991699707E-2</v>
      </c>
      <c r="F573" s="3">
        <f>E573/$K$1</f>
        <v>7.6395542322672252E-3</v>
      </c>
      <c r="G573" s="5">
        <f t="shared" si="17"/>
        <v>101325.04166139674</v>
      </c>
    </row>
    <row r="574" spans="1:7" x14ac:dyDescent="0.25">
      <c r="A574">
        <v>2972</v>
      </c>
      <c r="B574" s="3">
        <v>9.4242073399452501E-4</v>
      </c>
      <c r="C574" s="3">
        <f>B574*$K$4</f>
        <v>9.4242073399452501E-4</v>
      </c>
      <c r="D574" s="3">
        <f>(E573/$K$1)*$K$2*1</f>
        <v>4.9657102509736962E-4</v>
      </c>
      <c r="E574" s="3">
        <f t="shared" si="16"/>
        <v>6.2074133700596862E-2</v>
      </c>
      <c r="F574" s="3">
        <f>E574/$K$1</f>
        <v>7.6948225735213663E-3</v>
      </c>
      <c r="G574" s="5">
        <f t="shared" si="17"/>
        <v>101325.04210036149</v>
      </c>
    </row>
    <row r="575" spans="1:7" x14ac:dyDescent="0.25">
      <c r="A575">
        <v>2973</v>
      </c>
      <c r="B575" s="3">
        <v>9.5310889132455001E-4</v>
      </c>
      <c r="C575" s="3">
        <f>B575*$K$4</f>
        <v>9.5310889132455001E-4</v>
      </c>
      <c r="D575" s="3">
        <f>(E574/$K$1)*$K$2*1</f>
        <v>5.0016346727888884E-4</v>
      </c>
      <c r="E575" s="3">
        <f t="shared" si="16"/>
        <v>6.2527079124642518E-2</v>
      </c>
      <c r="F575" s="3">
        <f>E575/$K$1</f>
        <v>7.7509705125378102E-3</v>
      </c>
      <c r="G575" s="5">
        <f t="shared" si="17"/>
        <v>101325.04254736901</v>
      </c>
    </row>
    <row r="576" spans="1:7" x14ac:dyDescent="0.25">
      <c r="A576">
        <v>2974</v>
      </c>
      <c r="B576" s="3">
        <v>9.6277142411319396E-4</v>
      </c>
      <c r="C576" s="3">
        <f>B576*$K$4</f>
        <v>9.6277142411319396E-4</v>
      </c>
      <c r="D576" s="3">
        <f>(E575/$K$1)*$K$2*1</f>
        <v>5.0381308331495767E-4</v>
      </c>
      <c r="E576" s="3">
        <f t="shared" si="16"/>
        <v>6.298603746544075E-2</v>
      </c>
      <c r="F576" s="3">
        <f>E576/$K$1</f>
        <v>7.8078638236569664E-3</v>
      </c>
      <c r="G576" s="5">
        <f t="shared" si="17"/>
        <v>101325.04300135934</v>
      </c>
    </row>
    <row r="577" spans="1:7" x14ac:dyDescent="0.25">
      <c r="A577">
        <v>2975</v>
      </c>
      <c r="B577" s="3">
        <v>9.7137563740809605E-4</v>
      </c>
      <c r="C577" s="3">
        <f>B577*$K$4</f>
        <v>9.7137563740809605E-4</v>
      </c>
      <c r="D577" s="3">
        <f>(E576/$K$1)*$K$2*1</f>
        <v>5.0751114853770285E-4</v>
      </c>
      <c r="E577" s="3">
        <f t="shared" si="16"/>
        <v>6.3449901954311147E-2</v>
      </c>
      <c r="F577" s="3">
        <f>E577/$K$1</f>
        <v>7.8653653098191573E-3</v>
      </c>
      <c r="G577" s="5">
        <f t="shared" si="17"/>
        <v>101325.04346124669</v>
      </c>
    </row>
    <row r="578" spans="1:7" x14ac:dyDescent="0.25">
      <c r="A578">
        <v>2976</v>
      </c>
      <c r="B578" s="3">
        <v>9.7889241727506702E-4</v>
      </c>
      <c r="C578" s="3">
        <f>B578*$K$4</f>
        <v>9.7889241727506702E-4</v>
      </c>
      <c r="D578" s="3">
        <f>(E577/$K$1)*$K$2*1</f>
        <v>5.1124874513824522E-4</v>
      </c>
      <c r="E578" s="3">
        <f t="shared" si="16"/>
        <v>6.3917545626447969E-2</v>
      </c>
      <c r="F578" s="3">
        <f>E578/$K$1</f>
        <v>7.9233352704162589E-3</v>
      </c>
      <c r="G578" s="5">
        <f t="shared" si="17"/>
        <v>101325.04392592299</v>
      </c>
    </row>
    <row r="579" spans="1:7" x14ac:dyDescent="0.25">
      <c r="A579">
        <v>2977</v>
      </c>
      <c r="B579" s="3">
        <v>9.8529632931041995E-4</v>
      </c>
      <c r="C579" s="3">
        <f>B579*$K$4</f>
        <v>9.8529632931041995E-4</v>
      </c>
      <c r="D579" s="3">
        <f>(E578/$K$1)*$K$2*1</f>
        <v>5.150167925770568E-4</v>
      </c>
      <c r="E579" s="3">
        <f t="shared" si="16"/>
        <v>6.4387825163181339E-2</v>
      </c>
      <c r="F579" s="3">
        <f>E579/$K$1</f>
        <v>7.9816319775853888E-3</v>
      </c>
      <c r="G579" s="5">
        <f t="shared" si="17"/>
        <v>101325.04439426157</v>
      </c>
    </row>
    <row r="580" spans="1:7" x14ac:dyDescent="0.25">
      <c r="A580">
        <v>2978</v>
      </c>
      <c r="B580" s="3">
        <v>9.9056570470293696E-4</v>
      </c>
      <c r="C580" s="3">
        <f>B580*$K$4</f>
        <v>9.9056570470293696E-4</v>
      </c>
      <c r="D580" s="3">
        <f>(E579/$K$1)*$K$2*1</f>
        <v>5.1880607854305034E-4</v>
      </c>
      <c r="E580" s="3">
        <f t="shared" ref="E580:E643" si="18">E579+C580-D580</f>
        <v>6.4859584789341229E-2</v>
      </c>
      <c r="F580" s="3">
        <f>E580/$K$1</f>
        <v>8.0401121593332379E-3</v>
      </c>
      <c r="G580" s="5">
        <f t="shared" ref="G580:G643" si="19">G579+C580-$K$5*$K$9*SQRT(MAX(0,2*$K$6*(G579-$K$11)))</f>
        <v>101325.04486512093</v>
      </c>
    </row>
    <row r="581" spans="1:7" x14ac:dyDescent="0.25">
      <c r="A581">
        <v>2979</v>
      </c>
      <c r="B581" s="3">
        <v>9.9468271355427208E-4</v>
      </c>
      <c r="C581" s="3">
        <f>B581*$K$4</f>
        <v>9.9468271355427208E-4</v>
      </c>
      <c r="D581" s="3">
        <f>(E580/$K$1)*$K$2*1</f>
        <v>5.226072903566605E-4</v>
      </c>
      <c r="E581" s="3">
        <f t="shared" si="18"/>
        <v>6.5331660212538833E-2</v>
      </c>
      <c r="F581" s="3">
        <f>E581/$K$1</f>
        <v>8.0986314878565557E-3</v>
      </c>
      <c r="G581" s="5">
        <f t="shared" si="19"/>
        <v>101325.04533734849</v>
      </c>
    </row>
    <row r="582" spans="1:7" x14ac:dyDescent="0.25">
      <c r="A582">
        <v>2980</v>
      </c>
      <c r="B582" s="3">
        <v>9.9763342520967904E-4</v>
      </c>
      <c r="C582" s="3">
        <f>B582*$K$4</f>
        <v>9.9763342520967904E-4</v>
      </c>
      <c r="D582" s="3">
        <f>(E581/$K$1)*$K$2*1</f>
        <v>5.2641104671067619E-4</v>
      </c>
      <c r="E582" s="3">
        <f t="shared" si="18"/>
        <v>6.5802882591037837E-2</v>
      </c>
      <c r="F582" s="3">
        <f>E582/$K$1</f>
        <v>8.1570450714066982E-3</v>
      </c>
      <c r="G582" s="5">
        <f t="shared" si="19"/>
        <v>101325.04580978441</v>
      </c>
    </row>
    <row r="583" spans="1:7" x14ac:dyDescent="0.25">
      <c r="A583">
        <v>2981</v>
      </c>
      <c r="B583" s="3">
        <v>9.9940785539494293E-4</v>
      </c>
      <c r="C583" s="3">
        <f>B583*$K$4</f>
        <v>9.9940785539494293E-4</v>
      </c>
      <c r="D583" s="3">
        <f>(E582/$K$1)*$K$2*1</f>
        <v>5.3020792964143543E-4</v>
      </c>
      <c r="E583" s="3">
        <f t="shared" si="18"/>
        <v>6.6272082516791342E-2</v>
      </c>
      <c r="F583" s="3">
        <f>E583/$K$1</f>
        <v>8.2152079480341325E-3</v>
      </c>
      <c r="G583" s="5">
        <f t="shared" si="19"/>
        <v>101325.04628126544</v>
      </c>
    </row>
    <row r="584" spans="1:7" x14ac:dyDescent="0.25">
      <c r="A584">
        <v>2982</v>
      </c>
      <c r="B584" s="3">
        <v>1E-3</v>
      </c>
      <c r="C584" s="3">
        <f>B584*$K$4</f>
        <v>1E-3</v>
      </c>
      <c r="D584" s="3">
        <f>(E583/$K$1)*$K$2*1</f>
        <v>5.3398851662221863E-4</v>
      </c>
      <c r="E584" s="3">
        <f t="shared" si="18"/>
        <v>6.6738094000169126E-2</v>
      </c>
      <c r="F584" s="3">
        <f>E584/$K$1</f>
        <v>8.2729755795424732E-3</v>
      </c>
      <c r="G584" s="5">
        <f t="shared" si="19"/>
        <v>101325.04675062883</v>
      </c>
    </row>
    <row r="585" spans="1:7" x14ac:dyDescent="0.25">
      <c r="A585">
        <v>2983</v>
      </c>
      <c r="B585" s="3">
        <v>9.9860189859058996E-4</v>
      </c>
      <c r="C585" s="3">
        <f>B585*$K$4</f>
        <v>9.9860189859058996E-4</v>
      </c>
      <c r="D585" s="3">
        <f>(E584/$K$1)*$K$2*1</f>
        <v>5.3774341267026073E-4</v>
      </c>
      <c r="E585" s="3">
        <f t="shared" si="18"/>
        <v>6.7198952486089453E-2</v>
      </c>
      <c r="F585" s="3">
        <f>E585/$K$1</f>
        <v>8.3301044361087703E-3</v>
      </c>
      <c r="G585" s="5">
        <f t="shared" si="19"/>
        <v>101325.04721591016</v>
      </c>
    </row>
    <row r="586" spans="1:7" x14ac:dyDescent="0.25">
      <c r="A586">
        <v>2984</v>
      </c>
      <c r="B586" s="3">
        <v>9.9441541311256392E-4</v>
      </c>
      <c r="C586" s="3">
        <f>B586*$K$4</f>
        <v>9.9441541311256392E-4</v>
      </c>
      <c r="D586" s="3">
        <f>(E585/$K$1)*$K$2*1</f>
        <v>5.4145678834707008E-4</v>
      </c>
      <c r="E586" s="3">
        <f t="shared" si="18"/>
        <v>6.7651911110854959E-2</v>
      </c>
      <c r="F586" s="3">
        <f>E586/$K$1</f>
        <v>8.3862540115104689E-3</v>
      </c>
      <c r="G586" s="5">
        <f t="shared" si="19"/>
        <v>101325.04767435767</v>
      </c>
    </row>
    <row r="587" spans="1:7" x14ac:dyDescent="0.25">
      <c r="A587">
        <v>2985</v>
      </c>
      <c r="B587" s="3">
        <v>9.8746395609091309E-4</v>
      </c>
      <c r="C587" s="3">
        <f>B587*$K$4</f>
        <v>9.8746395609091309E-4</v>
      </c>
      <c r="D587" s="3">
        <f>(E586/$K$1)*$K$2*1</f>
        <v>5.4510651074818047E-4</v>
      </c>
      <c r="E587" s="3">
        <f t="shared" si="18"/>
        <v>6.8094268556197685E-2</v>
      </c>
      <c r="F587" s="3">
        <f>E587/$K$1</f>
        <v>8.4410894454193235E-3</v>
      </c>
      <c r="G587" s="5">
        <f t="shared" si="19"/>
        <v>101325.04812325799</v>
      </c>
    </row>
    <row r="588" spans="1:7" x14ac:dyDescent="0.25">
      <c r="A588">
        <v>2986</v>
      </c>
      <c r="B588" s="3">
        <v>9.7778640289307201E-4</v>
      </c>
      <c r="C588" s="3">
        <f>B588*$K$4</f>
        <v>9.7778640289307201E-4</v>
      </c>
      <c r="D588" s="3">
        <f>(E587/$K$1)*$K$2*1</f>
        <v>5.4867081395225609E-4</v>
      </c>
      <c r="E588" s="3">
        <f t="shared" si="18"/>
        <v>6.8523384145138505E-2</v>
      </c>
      <c r="F588" s="3">
        <f>E588/$K$1</f>
        <v>8.4942833947116037E-3</v>
      </c>
      <c r="G588" s="5">
        <f t="shared" si="19"/>
        <v>101325.04855995114</v>
      </c>
    </row>
    <row r="589" spans="1:7" x14ac:dyDescent="0.25">
      <c r="A589">
        <v>2987</v>
      </c>
      <c r="B589" s="3">
        <v>9.6543687432210502E-4</v>
      </c>
      <c r="C589" s="3">
        <f>B589*$K$4</f>
        <v>9.6543687432210502E-4</v>
      </c>
      <c r="D589" s="3">
        <f>(E588/$K$1)*$K$2*1</f>
        <v>5.5212842065625422E-4</v>
      </c>
      <c r="E589" s="3">
        <f t="shared" si="18"/>
        <v>6.8936692598804347E-2</v>
      </c>
      <c r="F589" s="3">
        <f>E589/$K$1</f>
        <v>8.5455178627500111E-3</v>
      </c>
      <c r="G589" s="5">
        <f t="shared" si="19"/>
        <v>101325.04898184525</v>
      </c>
    </row>
    <row r="590" spans="1:7" x14ac:dyDescent="0.25">
      <c r="A590">
        <v>2988</v>
      </c>
      <c r="B590" s="3">
        <v>9.5048443395121397E-4</v>
      </c>
      <c r="C590" s="3">
        <f>B590*$K$4</f>
        <v>9.5048443395121397E-4</v>
      </c>
      <c r="D590" s="3">
        <f>(E589/$K$1)*$K$2*1</f>
        <v>5.5545866107875076E-4</v>
      </c>
      <c r="E590" s="3">
        <f t="shared" si="18"/>
        <v>6.9331718371676801E-2</v>
      </c>
      <c r="F590" s="3">
        <f>E590/$K$1</f>
        <v>8.5944859764071901E-3</v>
      </c>
      <c r="G590" s="5">
        <f t="shared" si="19"/>
        <v>101325.04938643084</v>
      </c>
    </row>
    <row r="591" spans="1:7" x14ac:dyDescent="0.25">
      <c r="A591">
        <v>2989</v>
      </c>
      <c r="B591" s="3">
        <v>9.3301270189221795E-4</v>
      </c>
      <c r="C591" s="3">
        <f>B591*$K$4</f>
        <v>9.3301270189221795E-4</v>
      </c>
      <c r="D591" s="3">
        <f>(E590/$K$1)*$K$2*1</f>
        <v>5.5864158846646742E-4</v>
      </c>
      <c r="E591" s="3">
        <f t="shared" si="18"/>
        <v>6.9706089485102554E-2</v>
      </c>
      <c r="F591" s="3">
        <f>E591/$K$1</f>
        <v>8.6408937008928422E-3</v>
      </c>
      <c r="G591" s="5">
        <f t="shared" si="19"/>
        <v>101325.0497712948</v>
      </c>
    </row>
    <row r="592" spans="1:7" x14ac:dyDescent="0.25">
      <c r="A592">
        <v>2990</v>
      </c>
      <c r="B592" s="3">
        <v>9.1311938715799696E-4</v>
      </c>
      <c r="C592" s="3">
        <f>B592*$K$4</f>
        <v>9.1311938715799696E-4</v>
      </c>
      <c r="D592" s="3">
        <f>(E591/$K$1)*$K$2*1</f>
        <v>5.6165809055803474E-4</v>
      </c>
      <c r="E592" s="3">
        <f t="shared" si="18"/>
        <v>7.0057550781702504E-2</v>
      </c>
      <c r="F592" s="3">
        <f>E592/$K$1</f>
        <v>8.6844614827944096E-3</v>
      </c>
      <c r="G592" s="5">
        <f t="shared" si="19"/>
        <v>101325.05013413374</v>
      </c>
    </row>
    <row r="593" spans="1:7" x14ac:dyDescent="0.25">
      <c r="A593">
        <v>2991</v>
      </c>
      <c r="B593" s="3">
        <v>8.9091574123401497E-4</v>
      </c>
      <c r="C593" s="3">
        <f>B593*$K$4</f>
        <v>8.9091574123401497E-4</v>
      </c>
      <c r="D593" s="3">
        <f>(E592/$K$1)*$K$2*1</f>
        <v>5.6448999638163664E-4</v>
      </c>
      <c r="E593" s="3">
        <f t="shared" si="18"/>
        <v>7.0383976526554884E-2</v>
      </c>
      <c r="F593" s="3">
        <f>E593/$K$1</f>
        <v>8.7249258121426653E-3</v>
      </c>
      <c r="G593" s="5">
        <f t="shared" si="19"/>
        <v>101325.05047276689</v>
      </c>
    </row>
    <row r="594" spans="1:7" x14ac:dyDescent="0.25">
      <c r="A594">
        <v>2992</v>
      </c>
      <c r="B594" s="3">
        <v>8.6652593591491495E-4</v>
      </c>
      <c r="C594" s="3">
        <f>B594*$K$4</f>
        <v>8.6652593591491495E-4</v>
      </c>
      <c r="D594" s="3">
        <f>(E593/$K$1)*$K$2*1</f>
        <v>5.6712017778927327E-4</v>
      </c>
      <c r="E594" s="3">
        <f t="shared" si="18"/>
        <v>7.0683382284680532E-2</v>
      </c>
      <c r="F594" s="3">
        <f>E594/$K$1</f>
        <v>8.7620406947663976E-3</v>
      </c>
      <c r="G594" s="5">
        <f t="shared" si="19"/>
        <v>101325.05078514815</v>
      </c>
    </row>
    <row r="595" spans="1:7" x14ac:dyDescent="0.25">
      <c r="A595">
        <v>2993</v>
      </c>
      <c r="B595" s="3">
        <v>8.4008636888546295E-4</v>
      </c>
      <c r="C595" s="3">
        <f>B595*$K$4</f>
        <v>8.4008636888546295E-4</v>
      </c>
      <c r="D595" s="3">
        <f>(E594/$K$1)*$K$2*1</f>
        <v>5.6953264515981585E-4</v>
      </c>
      <c r="E595" s="3">
        <f t="shared" si="18"/>
        <v>7.0953936008406188E-2</v>
      </c>
      <c r="F595" s="3">
        <f>E595/$K$1</f>
        <v>8.7955790267021435E-3</v>
      </c>
      <c r="G595" s="5">
        <f t="shared" si="19"/>
        <v>101325.05106937767</v>
      </c>
    </row>
    <row r="596" spans="1:7" x14ac:dyDescent="0.25">
      <c r="A596">
        <v>2994</v>
      </c>
      <c r="B596" s="3">
        <v>8.11744900929372E-4</v>
      </c>
      <c r="C596" s="3">
        <f>B596*$K$4</f>
        <v>8.11744900929372E-4</v>
      </c>
      <c r="D596" s="3">
        <f>(E595/$K$1)*$K$2*1</f>
        <v>5.717126367356393E-4</v>
      </c>
      <c r="E596" s="3">
        <f t="shared" si="18"/>
        <v>7.1193968272599925E-2</v>
      </c>
      <c r="F596" s="3">
        <f>E596/$K$1</f>
        <v>8.8253338629725956E-3</v>
      </c>
      <c r="G596" s="5">
        <f t="shared" si="19"/>
        <v>101325.05132371241</v>
      </c>
    </row>
    <row r="597" spans="1:7" x14ac:dyDescent="0.25">
      <c r="A597">
        <v>2995</v>
      </c>
      <c r="B597" s="3">
        <v>7.8166002903181796E-4</v>
      </c>
      <c r="C597" s="3">
        <f>B597*$K$4</f>
        <v>7.8166002903181796E-4</v>
      </c>
      <c r="D597" s="3">
        <f>(E596/$K$1)*$K$2*1</f>
        <v>5.7364670109321877E-4</v>
      </c>
      <c r="E597" s="3">
        <f t="shared" si="18"/>
        <v>7.1401981600538525E-2</v>
      </c>
      <c r="F597" s="3">
        <f>E597/$K$1</f>
        <v>8.8511195736380964E-3</v>
      </c>
      <c r="G597" s="5">
        <f t="shared" si="19"/>
        <v>101325.051546576</v>
      </c>
    </row>
    <row r="598" spans="1:7" x14ac:dyDescent="0.25">
      <c r="A598">
        <v>2996</v>
      </c>
      <c r="B598" s="3">
        <v>7.5000000000000901E-4</v>
      </c>
      <c r="C598" s="3">
        <f>B598*$K$4</f>
        <v>7.5000000000000901E-4</v>
      </c>
      <c r="D598" s="3">
        <f>(E597/$K$1)*$K$2*1</f>
        <v>5.7532277228647627E-4</v>
      </c>
      <c r="E598" s="3">
        <f t="shared" si="18"/>
        <v>7.1576658828252065E-2</v>
      </c>
      <c r="F598" s="3">
        <f>E598/$K$1</f>
        <v>8.8727728806560144E-3</v>
      </c>
      <c r="G598" s="5">
        <f t="shared" si="19"/>
        <v>101325.05173656764</v>
      </c>
    </row>
    <row r="599" spans="1:7" x14ac:dyDescent="0.25">
      <c r="A599">
        <v>2997</v>
      </c>
      <c r="B599" s="3">
        <v>7.1694186955877505E-4</v>
      </c>
      <c r="C599" s="3">
        <f>B599*$K$4</f>
        <v>7.1694186955877505E-4</v>
      </c>
      <c r="D599" s="3">
        <f>(E598/$K$1)*$K$2*1</f>
        <v>5.7673023724264091E-4</v>
      </c>
      <c r="E599" s="3">
        <f t="shared" si="18"/>
        <v>7.1716870460568197E-2</v>
      </c>
      <c r="F599" s="3">
        <f>E599/$K$1</f>
        <v>8.8901537697493732E-3</v>
      </c>
      <c r="G599" s="5">
        <f t="shared" si="19"/>
        <v>101325.05189247004</v>
      </c>
    </row>
    <row r="600" spans="1:7" x14ac:dyDescent="0.25">
      <c r="A600">
        <v>2998</v>
      </c>
      <c r="B600" s="3">
        <v>6.8267051218319605E-4</v>
      </c>
      <c r="C600" s="3">
        <f>B600*$K$4</f>
        <v>6.8267051218319605E-4</v>
      </c>
      <c r="D600" s="3">
        <f>(E599/$K$1)*$K$2*1</f>
        <v>5.778599950337093E-4</v>
      </c>
      <c r="E600" s="3">
        <f t="shared" si="18"/>
        <v>7.1821680977717683E-2</v>
      </c>
      <c r="F600" s="3">
        <f>E600/$K$1</f>
        <v>8.9031462721851588E-3</v>
      </c>
      <c r="G600" s="5">
        <f t="shared" si="19"/>
        <v>101325.05201325641</v>
      </c>
    </row>
    <row r="601" spans="1:7" x14ac:dyDescent="0.25">
      <c r="A601">
        <v>2999</v>
      </c>
      <c r="B601" s="3">
        <v>6.4737758720545199E-4</v>
      </c>
      <c r="C601" s="3">
        <f>B601*$K$4</f>
        <v>6.4737758720545199E-4</v>
      </c>
      <c r="D601" s="3">
        <f>(E600/$K$1)*$K$2*1</f>
        <v>5.7870450769203531E-4</v>
      </c>
      <c r="E601" s="3">
        <f t="shared" si="18"/>
        <v>7.1890354057231098E-2</v>
      </c>
      <c r="F601" s="3">
        <f>E601/$K$1</f>
        <v>8.9116591120901329E-3</v>
      </c>
      <c r="G601" s="5">
        <f t="shared" si="19"/>
        <v>101325.0520980963</v>
      </c>
    </row>
    <row r="602" spans="1:7" x14ac:dyDescent="0.25">
      <c r="A602">
        <v>3000</v>
      </c>
      <c r="B602" s="3">
        <v>6.1126046697815902E-4</v>
      </c>
      <c r="C602" s="3">
        <f>B602*$K$4</f>
        <v>6.1126046697815902E-4</v>
      </c>
      <c r="D602" s="3">
        <f>(E601/$K$1)*$K$2*1</f>
        <v>5.792578422858587E-4</v>
      </c>
      <c r="E602" s="3">
        <f t="shared" si="18"/>
        <v>7.1922356681923399E-2</v>
      </c>
      <c r="F602" s="3">
        <f>E602/$K$1</f>
        <v>8.9156262156840707E-3</v>
      </c>
      <c r="G602" s="5">
        <f t="shared" si="19"/>
        <v>101325.05214636048</v>
      </c>
    </row>
    <row r="603" spans="1:7" x14ac:dyDescent="0.25">
      <c r="A603">
        <v>3001</v>
      </c>
      <c r="B603" s="3">
        <v>5.7452113308809104E-4</v>
      </c>
      <c r="C603" s="3">
        <f>B603*$K$4</f>
        <v>5.7452113308809104E-4</v>
      </c>
      <c r="D603" s="3">
        <f>(E602/$K$1)*$K$2*1</f>
        <v>5.7951570401946464E-4</v>
      </c>
      <c r="E603" s="3">
        <f t="shared" si="18"/>
        <v>7.191736211099202E-2</v>
      </c>
      <c r="F603" s="3">
        <f>E603/$K$1</f>
        <v>8.9150070795824994E-3</v>
      </c>
      <c r="G603" s="5">
        <f t="shared" si="19"/>
        <v>101325.05215762461</v>
      </c>
    </row>
    <row r="604" spans="1:7" x14ac:dyDescent="0.25">
      <c r="A604">
        <v>3002</v>
      </c>
      <c r="B604" s="3">
        <v>5.37365046793218E-4</v>
      </c>
      <c r="C604" s="3">
        <f>B604*$K$4</f>
        <v>5.37365046793218E-4</v>
      </c>
      <c r="D604" s="3">
        <f>(E603/$K$1)*$K$2*1</f>
        <v>5.7947546017286247E-4</v>
      </c>
      <c r="E604" s="3">
        <f t="shared" si="18"/>
        <v>7.1875251697612372E-2</v>
      </c>
      <c r="F604" s="3">
        <f>E604/$K$1</f>
        <v>8.9097869961091321E-3</v>
      </c>
      <c r="G604" s="5">
        <f t="shared" si="19"/>
        <v>101325.05213167182</v>
      </c>
    </row>
    <row r="605" spans="1:7" x14ac:dyDescent="0.25">
      <c r="A605">
        <v>3003</v>
      </c>
      <c r="B605" s="3">
        <v>5.0000000000000695E-4</v>
      </c>
      <c r="C605" s="3">
        <f>B605*$K$4</f>
        <v>5.0000000000000695E-4</v>
      </c>
      <c r="D605" s="3">
        <f>(E604/$K$1)*$K$2*1</f>
        <v>5.7913615474709356E-4</v>
      </c>
      <c r="E605" s="3">
        <f t="shared" si="18"/>
        <v>7.1796115542865274E-2</v>
      </c>
      <c r="F605" s="3">
        <f>E605/$K$1</f>
        <v>8.8999771343579118E-3</v>
      </c>
      <c r="G605" s="5">
        <f t="shared" si="19"/>
        <v>101325.05206849414</v>
      </c>
    </row>
    <row r="606" spans="1:7" x14ac:dyDescent="0.25">
      <c r="A606">
        <v>3004</v>
      </c>
      <c r="B606" s="3">
        <v>4.6263495320678099E-4</v>
      </c>
      <c r="C606" s="3">
        <f>B606*$K$4</f>
        <v>4.6263495320678099E-4</v>
      </c>
      <c r="D606" s="3">
        <f>(E605/$K$1)*$K$2*1</f>
        <v>5.7849851373326425E-4</v>
      </c>
      <c r="E606" s="3">
        <f t="shared" si="18"/>
        <v>7.1680251982338794E-2</v>
      </c>
      <c r="F606" s="3">
        <f>E606/$K$1</f>
        <v>8.8856144765512325E-3</v>
      </c>
      <c r="G606" s="5">
        <f t="shared" si="19"/>
        <v>101325.05196829278</v>
      </c>
    </row>
    <row r="607" spans="1:7" x14ac:dyDescent="0.25">
      <c r="A607">
        <v>3005</v>
      </c>
      <c r="B607" s="3">
        <v>4.25478866911908E-4</v>
      </c>
      <c r="C607" s="3">
        <f>B607*$K$4</f>
        <v>4.25478866911908E-4</v>
      </c>
      <c r="D607" s="3">
        <f>(E606/$K$1)*$K$2*1</f>
        <v>5.7756494097583016E-4</v>
      </c>
      <c r="E607" s="3">
        <f t="shared" si="18"/>
        <v>7.1528165908274877E-2</v>
      </c>
      <c r="F607" s="3">
        <f>E607/$K$1</f>
        <v>8.8667616100501882E-3</v>
      </c>
      <c r="G607" s="5">
        <f t="shared" si="19"/>
        <v>101325.05183147716</v>
      </c>
    </row>
    <row r="608" spans="1:7" x14ac:dyDescent="0.25">
      <c r="A608">
        <v>3006</v>
      </c>
      <c r="B608" s="3">
        <v>3.8873953302184002E-4</v>
      </c>
      <c r="C608" s="3">
        <f>B608*$K$4</f>
        <v>3.8873953302184002E-4</v>
      </c>
      <c r="D608" s="3">
        <f>(E607/$K$1)*$K$2*1</f>
        <v>5.7633950465326225E-4</v>
      </c>
      <c r="E608" s="3">
        <f t="shared" si="18"/>
        <v>7.1340565936643452E-2</v>
      </c>
      <c r="F608" s="3">
        <f>E608/$K$1</f>
        <v>8.843506376179925E-3</v>
      </c>
      <c r="G608" s="5">
        <f t="shared" si="19"/>
        <v>101325.05165866285</v>
      </c>
    </row>
    <row r="609" spans="1:7" x14ac:dyDescent="0.25">
      <c r="A609">
        <v>3007</v>
      </c>
      <c r="B609" s="3">
        <v>3.52622412794547E-4</v>
      </c>
      <c r="C609" s="3">
        <f>B609*$K$4</f>
        <v>3.52622412794547E-4</v>
      </c>
      <c r="D609" s="3">
        <f>(E608/$K$1)*$K$2*1</f>
        <v>5.7482791445169512E-4</v>
      </c>
      <c r="E609" s="3">
        <f t="shared" si="18"/>
        <v>7.1118360434986302E-2</v>
      </c>
      <c r="F609" s="3">
        <f>E609/$K$1</f>
        <v>8.815961377833928E-3</v>
      </c>
      <c r="G609" s="5">
        <f t="shared" si="19"/>
        <v>101325.05145066837</v>
      </c>
    </row>
    <row r="610" spans="1:7" x14ac:dyDescent="0.25">
      <c r="A610">
        <v>3008</v>
      </c>
      <c r="B610" s="3">
        <v>3.1732948781680299E-4</v>
      </c>
      <c r="C610" s="3">
        <f>B610*$K$4</f>
        <v>3.1732948781680299E-4</v>
      </c>
      <c r="D610" s="3">
        <f>(E609/$K$1)*$K$2*1</f>
        <v>5.7303748955920533E-4</v>
      </c>
      <c r="E610" s="3">
        <f t="shared" si="18"/>
        <v>7.0862652433243897E-2</v>
      </c>
      <c r="F610" s="3">
        <f>E610/$K$1</f>
        <v>8.7842633486108716E-3</v>
      </c>
      <c r="G610" s="5">
        <f t="shared" si="19"/>
        <v>101325.0512085107</v>
      </c>
    </row>
    <row r="611" spans="1:7" x14ac:dyDescent="0.25">
      <c r="A611">
        <v>3009</v>
      </c>
      <c r="B611" s="3">
        <v>2.8305813044122302E-4</v>
      </c>
      <c r="C611" s="3">
        <f>B611*$K$4</f>
        <v>2.8305813044122302E-4</v>
      </c>
      <c r="D611" s="3">
        <f>(E610/$K$1)*$K$2*1</f>
        <v>5.709771176597067E-4</v>
      </c>
      <c r="E611" s="3">
        <f t="shared" si="18"/>
        <v>7.0574733446025426E-2</v>
      </c>
      <c r="F611" s="3">
        <f>E611/$K$1</f>
        <v>8.7485723870119533E-3</v>
      </c>
      <c r="G611" s="5">
        <f t="shared" si="19"/>
        <v>101325.05093339989</v>
      </c>
    </row>
    <row r="612" spans="1:7" x14ac:dyDescent="0.25">
      <c r="A612">
        <v>3010</v>
      </c>
      <c r="B612" s="3">
        <v>2.5000000000000402E-4</v>
      </c>
      <c r="C612" s="3">
        <f>B612*$K$4</f>
        <v>2.5000000000000402E-4</v>
      </c>
      <c r="D612" s="3">
        <f>(E611/$K$1)*$K$2*1</f>
        <v>5.68657205155777E-4</v>
      </c>
      <c r="E612" s="3">
        <f t="shared" si="18"/>
        <v>7.0256076240869644E-2</v>
      </c>
      <c r="F612" s="3">
        <f>E612/$K$1</f>
        <v>8.7090710599813607E-3</v>
      </c>
      <c r="G612" s="5">
        <f t="shared" si="19"/>
        <v>101325.05062673231</v>
      </c>
    </row>
    <row r="613" spans="1:7" x14ac:dyDescent="0.25">
      <c r="A613">
        <v>3011</v>
      </c>
      <c r="B613" s="3">
        <v>0</v>
      </c>
      <c r="C613" s="3">
        <f>B613*$K$4</f>
        <v>0</v>
      </c>
      <c r="D613" s="3">
        <f>(E612/$K$1)*$K$2*1</f>
        <v>5.6608961889878843E-4</v>
      </c>
      <c r="E613" s="3">
        <f t="shared" si="18"/>
        <v>6.9689986621970859E-2</v>
      </c>
      <c r="F613" s="3">
        <f>E613/$K$1</f>
        <v>8.6388975606756981E-3</v>
      </c>
      <c r="G613" s="5">
        <f t="shared" si="19"/>
        <v>101325.05007174308</v>
      </c>
    </row>
    <row r="614" spans="1:7" x14ac:dyDescent="0.25">
      <c r="A614">
        <v>3012</v>
      </c>
      <c r="B614" s="3">
        <v>0</v>
      </c>
      <c r="C614" s="3">
        <f>B614*$K$4</f>
        <v>0</v>
      </c>
      <c r="D614" s="3">
        <f>(E613/$K$1)*$K$2*1</f>
        <v>5.6152834144392039E-4</v>
      </c>
      <c r="E614" s="3">
        <f t="shared" si="18"/>
        <v>6.9128458280526939E-2</v>
      </c>
      <c r="F614" s="3">
        <f>E614/$K$1</f>
        <v>8.5692894856237677E-3</v>
      </c>
      <c r="G614" s="5">
        <f t="shared" si="19"/>
        <v>101325.04951980425</v>
      </c>
    </row>
    <row r="615" spans="1:7" x14ac:dyDescent="0.25">
      <c r="A615">
        <v>3013</v>
      </c>
      <c r="B615" s="3">
        <v>0</v>
      </c>
      <c r="C615" s="3">
        <f>B615*$K$4</f>
        <v>0</v>
      </c>
      <c r="D615" s="3">
        <f>(E614/$K$1)*$K$2*1</f>
        <v>5.5700381656554492E-4</v>
      </c>
      <c r="E615" s="3">
        <f t="shared" si="18"/>
        <v>6.8571454463961387E-2</v>
      </c>
      <c r="F615" s="3">
        <f>E615/$K$1</f>
        <v>8.500242278909307E-3</v>
      </c>
      <c r="G615" s="5">
        <f t="shared" si="19"/>
        <v>101325.04897091584</v>
      </c>
    </row>
    <row r="616" spans="1:7" x14ac:dyDescent="0.25">
      <c r="A616">
        <v>3014</v>
      </c>
      <c r="B616" s="3">
        <v>0</v>
      </c>
      <c r="C616" s="3">
        <f>B616*$K$4</f>
        <v>0</v>
      </c>
      <c r="D616" s="3">
        <f>(E615/$K$1)*$K$2*1</f>
        <v>5.5251574812910495E-4</v>
      </c>
      <c r="E616" s="3">
        <f t="shared" si="18"/>
        <v>6.8018938715832283E-2</v>
      </c>
      <c r="F616" s="3">
        <f>E616/$K$1</f>
        <v>8.4317514213254341E-3</v>
      </c>
      <c r="G616" s="5">
        <f t="shared" si="19"/>
        <v>101325.04842507791</v>
      </c>
    </row>
    <row r="617" spans="1:7" x14ac:dyDescent="0.25">
      <c r="A617">
        <v>3015</v>
      </c>
      <c r="B617" s="3">
        <v>0</v>
      </c>
      <c r="C617" s="3">
        <f>B617*$K$4</f>
        <v>0</v>
      </c>
      <c r="D617" s="3">
        <f>(E616/$K$1)*$K$2*1</f>
        <v>5.4806384238615324E-4</v>
      </c>
      <c r="E617" s="3">
        <f t="shared" si="18"/>
        <v>6.7470874873446135E-2</v>
      </c>
      <c r="F617" s="3">
        <f>E617/$K$1</f>
        <v>8.3638124300788562E-3</v>
      </c>
      <c r="G617" s="5">
        <f t="shared" si="19"/>
        <v>101325.0478822905</v>
      </c>
    </row>
    <row r="618" spans="1:7" x14ac:dyDescent="0.25">
      <c r="A618">
        <v>3016</v>
      </c>
      <c r="B618" s="3">
        <v>0</v>
      </c>
      <c r="C618" s="3">
        <f>B618*$K$4</f>
        <v>0</v>
      </c>
      <c r="D618" s="3">
        <f>(E617/$K$1)*$K$2*1</f>
        <v>5.4364780795512562E-4</v>
      </c>
      <c r="E618" s="3">
        <f t="shared" si="18"/>
        <v>6.6927227065491007E-2</v>
      </c>
      <c r="F618" s="3">
        <f>E618/$K$1</f>
        <v>8.2964208584964672E-3</v>
      </c>
      <c r="G618" s="5">
        <f t="shared" si="19"/>
        <v>101325.04734255366</v>
      </c>
    </row>
    <row r="619" spans="1:7" x14ac:dyDescent="0.25">
      <c r="A619">
        <v>3017</v>
      </c>
      <c r="B619" s="3">
        <v>0</v>
      </c>
      <c r="C619" s="3">
        <f>B619*$K$4</f>
        <v>0</v>
      </c>
      <c r="D619" s="3">
        <f>(E618/$K$1)*$K$2*1</f>
        <v>5.3926735580227042E-4</v>
      </c>
      <c r="E619" s="3">
        <f t="shared" si="18"/>
        <v>6.6387959709688735E-2</v>
      </c>
      <c r="F619" s="3">
        <f>E619/$K$1</f>
        <v>8.2295722957343165E-3</v>
      </c>
      <c r="G619" s="5">
        <f t="shared" si="19"/>
        <v>101325.04680586745</v>
      </c>
    </row>
    <row r="620" spans="1:7" x14ac:dyDescent="0.25">
      <c r="A620">
        <v>3018</v>
      </c>
      <c r="B620" s="3">
        <v>0</v>
      </c>
      <c r="C620" s="3">
        <f>B620*$K$4</f>
        <v>0</v>
      </c>
      <c r="D620" s="3">
        <f>(E619/$K$1)*$K$2*1</f>
        <v>5.3492219922273061E-4</v>
      </c>
      <c r="E620" s="3">
        <f t="shared" si="18"/>
        <v>6.5853037510466006E-2</v>
      </c>
      <c r="F620" s="3">
        <f>E620/$K$1</f>
        <v>8.1632623664889062E-3</v>
      </c>
      <c r="G620" s="5">
        <f t="shared" si="19"/>
        <v>101325.04627223189</v>
      </c>
    </row>
    <row r="621" spans="1:7" x14ac:dyDescent="0.25">
      <c r="A621">
        <v>3019</v>
      </c>
      <c r="B621" s="3">
        <v>0</v>
      </c>
      <c r="C621" s="3">
        <f>B621*$K$4</f>
        <v>0</v>
      </c>
      <c r="D621" s="3">
        <f>(E620/$K$1)*$K$2*1</f>
        <v>5.3061205382177892E-4</v>
      </c>
      <c r="E621" s="3">
        <f t="shared" si="18"/>
        <v>6.5322425456644226E-2</v>
      </c>
      <c r="F621" s="3">
        <f>E621/$K$1</f>
        <v>8.0974867307108244E-3</v>
      </c>
      <c r="G621" s="5">
        <f t="shared" si="19"/>
        <v>101325.04574164706</v>
      </c>
    </row>
    <row r="622" spans="1:7" x14ac:dyDescent="0.25">
      <c r="A622">
        <v>3020</v>
      </c>
      <c r="B622" s="3">
        <v>0</v>
      </c>
      <c r="C622" s="3">
        <f>B622*$K$4</f>
        <v>0</v>
      </c>
      <c r="D622" s="3">
        <f>(E621/$K$1)*$K$2*1</f>
        <v>5.2633663749620358E-4</v>
      </c>
      <c r="E622" s="3">
        <f t="shared" si="18"/>
        <v>6.4796088819148029E-2</v>
      </c>
      <c r="F622" s="3">
        <f>E622/$K$1</f>
        <v>8.0322410833206931E-3</v>
      </c>
      <c r="G622" s="5">
        <f t="shared" si="19"/>
        <v>101325.04521411301</v>
      </c>
    </row>
    <row r="623" spans="1:7" x14ac:dyDescent="0.25">
      <c r="A623">
        <v>3021</v>
      </c>
      <c r="B623" s="3">
        <v>0</v>
      </c>
      <c r="C623" s="3">
        <f>B623*$K$4</f>
        <v>0</v>
      </c>
      <c r="D623" s="3">
        <f>(E622/$K$1)*$K$2*1</f>
        <v>5.2209567041584511E-4</v>
      </c>
      <c r="E623" s="3">
        <f t="shared" si="18"/>
        <v>6.4273993148732181E-2</v>
      </c>
      <c r="F623" s="3">
        <f>E623/$K$1</f>
        <v>7.9675211539273812E-3</v>
      </c>
      <c r="G623" s="5">
        <f t="shared" si="19"/>
        <v>101325.04468962978</v>
      </c>
    </row>
    <row r="624" spans="1:7" x14ac:dyDescent="0.25">
      <c r="A624">
        <v>3022</v>
      </c>
      <c r="B624" s="3">
        <v>0</v>
      </c>
      <c r="C624" s="3">
        <f>B624*$K$4</f>
        <v>0</v>
      </c>
      <c r="D624" s="3">
        <f>(E623/$K$1)*$K$2*1</f>
        <v>5.1788887500527981E-4</v>
      </c>
      <c r="E624" s="3">
        <f t="shared" si="18"/>
        <v>6.3756104273726896E-2</v>
      </c>
      <c r="F624" s="3">
        <f>E624/$K$1</f>
        <v>7.9033227065485184E-3</v>
      </c>
      <c r="G624" s="5">
        <f t="shared" si="19"/>
        <v>101325.04416819742</v>
      </c>
    </row>
    <row r="625" spans="1:7" x14ac:dyDescent="0.25">
      <c r="A625">
        <v>3023</v>
      </c>
      <c r="B625" s="3">
        <v>0</v>
      </c>
      <c r="C625" s="3">
        <f>B625*$K$4</f>
        <v>0</v>
      </c>
      <c r="D625" s="3">
        <f>(E624/$K$1)*$K$2*1</f>
        <v>5.1371597592565375E-4</v>
      </c>
      <c r="E625" s="3">
        <f t="shared" si="18"/>
        <v>6.3242388297801239E-2</v>
      </c>
      <c r="F625" s="3">
        <f>E625/$K$1</f>
        <v>7.8396415393332392E-3</v>
      </c>
      <c r="G625" s="5">
        <f t="shared" si="19"/>
        <v>101325.04364981598</v>
      </c>
    </row>
    <row r="626" spans="1:7" x14ac:dyDescent="0.25">
      <c r="A626">
        <v>3024</v>
      </c>
      <c r="B626" s="3">
        <v>0</v>
      </c>
      <c r="C626" s="3">
        <f>B626*$K$4</f>
        <v>0</v>
      </c>
      <c r="D626" s="3">
        <f>(E625/$K$1)*$K$2*1</f>
        <v>5.0957670005666051E-4</v>
      </c>
      <c r="E626" s="3">
        <f t="shared" si="18"/>
        <v>6.2732811597744575E-2</v>
      </c>
      <c r="F626" s="3">
        <f>E626/$K$1</f>
        <v>7.7764734842871667E-3</v>
      </c>
      <c r="G626" s="5">
        <f t="shared" si="19"/>
        <v>101325.04313448553</v>
      </c>
    </row>
    <row r="627" spans="1:7" x14ac:dyDescent="0.25">
      <c r="A627">
        <v>3025</v>
      </c>
      <c r="B627" s="3">
        <v>0</v>
      </c>
      <c r="C627" s="3">
        <f>B627*$K$4</f>
        <v>0</v>
      </c>
      <c r="D627" s="3">
        <f>(E626/$K$1)*$K$2*1</f>
        <v>5.0547077647866581E-4</v>
      </c>
      <c r="E627" s="3">
        <f t="shared" si="18"/>
        <v>6.2227340821265908E-2</v>
      </c>
      <c r="F627" s="3">
        <f>E627/$K$1</f>
        <v>7.7138144069996166E-3</v>
      </c>
      <c r="G627" s="5">
        <f t="shared" si="19"/>
        <v>101325.04262220611</v>
      </c>
    </row>
    <row r="628" spans="1:7" x14ac:dyDescent="0.25">
      <c r="A628">
        <v>3026</v>
      </c>
      <c r="B628" s="3">
        <v>0</v>
      </c>
      <c r="C628" s="3">
        <f>B628*$K$4</f>
        <v>0</v>
      </c>
      <c r="D628" s="3">
        <f>(E627/$K$1)*$K$2*1</f>
        <v>5.0139793645497509E-4</v>
      </c>
      <c r="E628" s="3">
        <f t="shared" si="18"/>
        <v>6.1725942884810932E-2</v>
      </c>
      <c r="F628" s="3">
        <f>E628/$K$1</f>
        <v>7.6516602063729927E-3</v>
      </c>
      <c r="G628" s="5">
        <f t="shared" si="19"/>
        <v>101325.04211297777</v>
      </c>
    </row>
    <row r="629" spans="1:7" x14ac:dyDescent="0.25">
      <c r="A629">
        <v>3027</v>
      </c>
      <c r="B629" s="3">
        <v>0</v>
      </c>
      <c r="C629" s="3">
        <f>B629*$K$4</f>
        <v>0</v>
      </c>
      <c r="D629" s="3">
        <f>(E628/$K$1)*$K$2*1</f>
        <v>4.9735791341424455E-4</v>
      </c>
      <c r="E629" s="3">
        <f t="shared" si="18"/>
        <v>6.1228584971396688E-2</v>
      </c>
      <c r="F629" s="3">
        <f>E629/$K$1</f>
        <v>7.5900068143543676E-3</v>
      </c>
      <c r="G629" s="5">
        <f t="shared" si="19"/>
        <v>101325.04160680057</v>
      </c>
    </row>
    <row r="630" spans="1:7" x14ac:dyDescent="0.25">
      <c r="A630">
        <v>3028</v>
      </c>
      <c r="B630" s="3">
        <v>0</v>
      </c>
      <c r="C630" s="3">
        <f>B630*$K$4</f>
        <v>0</v>
      </c>
      <c r="D630" s="3">
        <f>(E629/$K$1)*$K$2*1</f>
        <v>4.9335044293303393E-4</v>
      </c>
      <c r="E630" s="3">
        <f t="shared" si="18"/>
        <v>6.0735234528463654E-2</v>
      </c>
      <c r="F630" s="3">
        <f>E630/$K$1</f>
        <v>7.5288501956692266E-3</v>
      </c>
      <c r="G630" s="5">
        <f t="shared" si="19"/>
        <v>101325.04110367456</v>
      </c>
    </row>
    <row r="631" spans="1:7" x14ac:dyDescent="0.25">
      <c r="A631">
        <v>3029</v>
      </c>
      <c r="B631" s="3">
        <v>0</v>
      </c>
      <c r="C631" s="3">
        <f>B631*$K$4</f>
        <v>0</v>
      </c>
      <c r="D631" s="3">
        <f>(E630/$K$1)*$K$2*1</f>
        <v>4.8937526271849974E-4</v>
      </c>
      <c r="E631" s="3">
        <f t="shared" si="18"/>
        <v>6.0245859265745154E-2</v>
      </c>
      <c r="F631" s="3">
        <f>E631/$K$1</f>
        <v>7.4681863475573509E-3</v>
      </c>
      <c r="G631" s="5">
        <f t="shared" si="19"/>
        <v>101325.04060359982</v>
      </c>
    </row>
    <row r="632" spans="1:7" x14ac:dyDescent="0.25">
      <c r="A632">
        <v>3030</v>
      </c>
      <c r="B632" s="3">
        <v>0</v>
      </c>
      <c r="C632" s="3">
        <f>B632*$K$4</f>
        <v>0</v>
      </c>
      <c r="D632" s="3">
        <f>(E631/$K$1)*$K$2*1</f>
        <v>4.8543211259122784E-4</v>
      </c>
      <c r="E632" s="3">
        <f t="shared" si="18"/>
        <v>5.9760427153153925E-2</v>
      </c>
      <c r="F632" s="3">
        <f>E632/$K$1</f>
        <v>7.4080112995108371E-3</v>
      </c>
      <c r="G632" s="5">
        <f t="shared" si="19"/>
        <v>101325.04010657637</v>
      </c>
    </row>
    <row r="633" spans="1:7" x14ac:dyDescent="0.25">
      <c r="A633">
        <v>3031</v>
      </c>
      <c r="B633" s="3">
        <v>0</v>
      </c>
      <c r="C633" s="3">
        <f>B633*$K$4</f>
        <v>0</v>
      </c>
      <c r="D633" s="3">
        <f>(E632/$K$1)*$K$2*1</f>
        <v>4.8152073446820445E-4</v>
      </c>
      <c r="E633" s="3">
        <f t="shared" si="18"/>
        <v>5.9278906418685717E-2</v>
      </c>
      <c r="F633" s="3">
        <f>E633/$K$1</f>
        <v>7.3483211130142201E-3</v>
      </c>
      <c r="G633" s="5">
        <f t="shared" si="19"/>
        <v>101325.03961260429</v>
      </c>
    </row>
    <row r="634" spans="1:7" x14ac:dyDescent="0.25">
      <c r="A634">
        <v>3032</v>
      </c>
      <c r="B634" s="3">
        <v>0</v>
      </c>
      <c r="C634" s="3">
        <f>B634*$K$4</f>
        <v>0</v>
      </c>
      <c r="D634" s="3">
        <f>(E633/$K$1)*$K$2*1</f>
        <v>4.7764087234592432E-4</v>
      </c>
      <c r="E634" s="3">
        <f t="shared" si="18"/>
        <v>5.8801265546339791E-2</v>
      </c>
      <c r="F634" s="3">
        <f>E634/$K$1</f>
        <v>7.2891118812866973E-3</v>
      </c>
      <c r="G634" s="5">
        <f t="shared" si="19"/>
        <v>101325.03912168364</v>
      </c>
    </row>
    <row r="635" spans="1:7" x14ac:dyDescent="0.25">
      <c r="A635">
        <v>3033</v>
      </c>
      <c r="B635" s="3">
        <v>0</v>
      </c>
      <c r="C635" s="3">
        <f>B635*$K$4</f>
        <v>0</v>
      </c>
      <c r="D635" s="3">
        <f>(E634/$K$1)*$K$2*1</f>
        <v>4.7379227228363532E-4</v>
      </c>
      <c r="E635" s="3">
        <f t="shared" si="18"/>
        <v>5.8327473274056157E-2</v>
      </c>
      <c r="F635" s="3">
        <f>E635/$K$1</f>
        <v>7.2303797290264229E-3</v>
      </c>
      <c r="G635" s="5">
        <f t="shared" si="19"/>
        <v>101325.03863381447</v>
      </c>
    </row>
    <row r="636" spans="1:7" x14ac:dyDescent="0.25">
      <c r="A636">
        <v>3034</v>
      </c>
      <c r="B636" s="3">
        <v>0</v>
      </c>
      <c r="C636" s="3">
        <f>B636*$K$4</f>
        <v>0</v>
      </c>
      <c r="D636" s="3">
        <f>(E635/$K$1)*$K$2*1</f>
        <v>4.6997468238671751E-4</v>
      </c>
      <c r="E636" s="3">
        <f t="shared" si="18"/>
        <v>5.7857498591669443E-2</v>
      </c>
      <c r="F636" s="3">
        <f>E636/$K$1</f>
        <v>7.1721208121568666E-3</v>
      </c>
      <c r="G636" s="5">
        <f t="shared" si="19"/>
        <v>101325.03814899686</v>
      </c>
    </row>
    <row r="637" spans="1:7" x14ac:dyDescent="0.25">
      <c r="A637">
        <v>3035</v>
      </c>
      <c r="B637" s="3">
        <v>0</v>
      </c>
      <c r="C637" s="3">
        <f>B637*$K$4</f>
        <v>0</v>
      </c>
      <c r="D637" s="3">
        <f>(E636/$K$1)*$K$2*1</f>
        <v>4.6618785279019633E-4</v>
      </c>
      <c r="E637" s="3">
        <f t="shared" si="18"/>
        <v>5.7391310738879243E-2</v>
      </c>
      <c r="F637" s="3">
        <f>E637/$K$1</f>
        <v>7.1143313175752133E-3</v>
      </c>
      <c r="G637" s="5">
        <f t="shared" si="19"/>
        <v>101325.03766723083</v>
      </c>
    </row>
    <row r="638" spans="1:7" x14ac:dyDescent="0.25">
      <c r="A638">
        <v>3036</v>
      </c>
      <c r="B638" s="3">
        <v>0</v>
      </c>
      <c r="C638" s="3">
        <f>B638*$K$4</f>
        <v>0</v>
      </c>
      <c r="D638" s="3">
        <f>(E637/$K$1)*$K$2*1</f>
        <v>4.6243153564238886E-4</v>
      </c>
      <c r="E638" s="3">
        <f t="shared" si="18"/>
        <v>5.6928879203236853E-2</v>
      </c>
      <c r="F638" s="3">
        <f>E638/$K$1</f>
        <v>7.0570074629027956E-3</v>
      </c>
      <c r="G638" s="5">
        <f t="shared" si="19"/>
        <v>101325.03718851648</v>
      </c>
    </row>
    <row r="639" spans="1:7" x14ac:dyDescent="0.25">
      <c r="A639">
        <v>3037</v>
      </c>
      <c r="B639" s="3">
        <v>0</v>
      </c>
      <c r="C639" s="3">
        <f>B639*$K$4</f>
        <v>0</v>
      </c>
      <c r="D639" s="3">
        <f>(E638/$K$1)*$K$2*1</f>
        <v>4.5870548508868174E-4</v>
      </c>
      <c r="E639" s="3">
        <f t="shared" si="18"/>
        <v>5.6470173718148171E-2</v>
      </c>
      <c r="F639" s="3">
        <f>E639/$K$1</f>
        <v>7.0001454962375321E-3</v>
      </c>
      <c r="G639" s="5">
        <f t="shared" si="19"/>
        <v>101325.03671285385</v>
      </c>
    </row>
    <row r="640" spans="1:7" x14ac:dyDescent="0.25">
      <c r="A640">
        <v>3038</v>
      </c>
      <c r="B640" s="3">
        <v>0</v>
      </c>
      <c r="C640" s="3">
        <f>B640*$K$4</f>
        <v>0</v>
      </c>
      <c r="D640" s="3">
        <f>(E639/$K$1)*$K$2*1</f>
        <v>4.550094572554396E-4</v>
      </c>
      <c r="E640" s="3">
        <f t="shared" si="18"/>
        <v>5.601516426089273E-2</v>
      </c>
      <c r="F640" s="3">
        <f>E640/$K$1</f>
        <v>6.9437416959083585E-3</v>
      </c>
      <c r="G640" s="5">
        <f t="shared" si="19"/>
        <v>101325.03624024302</v>
      </c>
    </row>
    <row r="641" spans="1:7" x14ac:dyDescent="0.25">
      <c r="A641">
        <v>3039</v>
      </c>
      <c r="B641" s="3">
        <v>0</v>
      </c>
      <c r="C641" s="3">
        <f>B641*$K$4</f>
        <v>0</v>
      </c>
      <c r="D641" s="3">
        <f>(E640/$K$1)*$K$2*1</f>
        <v>4.5134321023404333E-4</v>
      </c>
      <c r="E641" s="3">
        <f t="shared" si="18"/>
        <v>5.5563821050658685E-2</v>
      </c>
      <c r="F641" s="3">
        <f>E641/$K$1</f>
        <v>6.887792370231645E-3</v>
      </c>
      <c r="G641" s="5">
        <f t="shared" si="19"/>
        <v>101325.03577068403</v>
      </c>
    </row>
    <row r="642" spans="1:7" x14ac:dyDescent="0.25">
      <c r="A642">
        <v>3040</v>
      </c>
      <c r="B642" s="3">
        <v>0</v>
      </c>
      <c r="C642" s="3">
        <f>B642*$K$4</f>
        <v>0</v>
      </c>
      <c r="D642" s="3">
        <f>(E641/$K$1)*$K$2*1</f>
        <v>4.4770650406505692E-4</v>
      </c>
      <c r="E642" s="3">
        <f t="shared" si="18"/>
        <v>5.5116114546593625E-2</v>
      </c>
      <c r="F642" s="3">
        <f>E642/$K$1</f>
        <v>6.8322938572695701E-3</v>
      </c>
      <c r="G642" s="5">
        <f t="shared" si="19"/>
        <v>101325.03530417697</v>
      </c>
    </row>
    <row r="643" spans="1:7" x14ac:dyDescent="0.25">
      <c r="A643">
        <v>3041</v>
      </c>
      <c r="B643" s="3">
        <v>0</v>
      </c>
      <c r="C643" s="3">
        <f>B643*$K$4</f>
        <v>0</v>
      </c>
      <c r="D643" s="3">
        <f>(E642/$K$1)*$K$2*1</f>
        <v>4.4409910072252206E-4</v>
      </c>
      <c r="E643" s="3">
        <f t="shared" si="18"/>
        <v>5.4672015445871101E-2</v>
      </c>
      <c r="F643" s="3">
        <f>E643/$K$1</f>
        <v>6.7772425245904424E-3</v>
      </c>
      <c r="G643" s="5">
        <f t="shared" si="19"/>
        <v>101325.03484072188</v>
      </c>
    </row>
    <row r="644" spans="1:7" x14ac:dyDescent="0.25">
      <c r="A644">
        <v>3042</v>
      </c>
      <c r="B644" s="3">
        <v>0</v>
      </c>
      <c r="C644" s="3">
        <f>B644*$K$4</f>
        <v>0</v>
      </c>
      <c r="D644" s="3">
        <f>(E643/$K$1)*$K$2*1</f>
        <v>4.4052076409837877E-4</v>
      </c>
      <c r="E644" s="3">
        <f t="shared" ref="E644:E707" si="20">E643+C644-D644</f>
        <v>5.423149468177272E-2</v>
      </c>
      <c r="F644" s="3">
        <f>E644/$K$1</f>
        <v>6.722634769030956E-3</v>
      </c>
      <c r="G644" s="5">
        <f t="shared" ref="G644:G707" si="21">G643+C644-$K$5*$K$9*SQRT(MAX(0,2*$K$6*(G643-$K$11)))</f>
        <v>101325.03438031886</v>
      </c>
    </row>
    <row r="645" spans="1:7" x14ac:dyDescent="0.25">
      <c r="A645">
        <v>3043</v>
      </c>
      <c r="B645" s="3">
        <v>0</v>
      </c>
      <c r="C645" s="3">
        <f>B645*$K$4</f>
        <v>0</v>
      </c>
      <c r="D645" s="3">
        <f>(E644/$K$1)*$K$2*1</f>
        <v>4.3697125998701214E-4</v>
      </c>
      <c r="E645" s="3">
        <f t="shared" si="20"/>
        <v>5.3794523421785707E-2</v>
      </c>
      <c r="F645" s="3">
        <f>E645/$K$1</f>
        <v>6.6684670164603574E-3</v>
      </c>
      <c r="G645" s="5">
        <f t="shared" si="21"/>
        <v>101325.03392296794</v>
      </c>
    </row>
    <row r="646" spans="1:7" x14ac:dyDescent="0.25">
      <c r="A646">
        <v>3044</v>
      </c>
      <c r="B646" s="3">
        <v>0</v>
      </c>
      <c r="C646" s="3">
        <f>B646*$K$4</f>
        <v>0</v>
      </c>
      <c r="D646" s="3">
        <f>(E645/$K$1)*$K$2*1</f>
        <v>4.3345035606992327E-4</v>
      </c>
      <c r="E646" s="3">
        <f t="shared" si="20"/>
        <v>5.3361073065715782E-2</v>
      </c>
      <c r="F646" s="3">
        <f>E646/$K$1</f>
        <v>6.6147357215465205E-3</v>
      </c>
      <c r="G646" s="5">
        <f t="shared" si="21"/>
        <v>101325.03346866921</v>
      </c>
    </row>
    <row r="647" spans="1:7" x14ac:dyDescent="0.25">
      <c r="A647">
        <v>3045</v>
      </c>
      <c r="B647" s="3">
        <v>0</v>
      </c>
      <c r="C647" s="3">
        <f>B647*$K$4</f>
        <v>0</v>
      </c>
      <c r="D647" s="3">
        <f>(E646/$K$1)*$K$2*1</f>
        <v>4.2995782190052384E-4</v>
      </c>
      <c r="E647" s="3">
        <f t="shared" si="20"/>
        <v>5.293111524381526E-2</v>
      </c>
      <c r="F647" s="3">
        <f>E647/$K$1</f>
        <v>6.5614373675238948E-3</v>
      </c>
      <c r="G647" s="5">
        <f t="shared" si="21"/>
        <v>101325.03301742273</v>
      </c>
    </row>
    <row r="648" spans="1:7" x14ac:dyDescent="0.25">
      <c r="A648">
        <v>3046</v>
      </c>
      <c r="B648" s="3">
        <v>0</v>
      </c>
      <c r="C648" s="3">
        <f>B648*$K$4</f>
        <v>0</v>
      </c>
      <c r="D648" s="3">
        <f>(E647/$K$1)*$K$2*1</f>
        <v>4.2649342888905319E-4</v>
      </c>
      <c r="E648" s="3">
        <f t="shared" si="20"/>
        <v>5.2504621814926204E-2</v>
      </c>
      <c r="F648" s="3">
        <f>E648/$K$1</f>
        <v>6.5085684659633323E-3</v>
      </c>
      <c r="G648" s="5">
        <f t="shared" si="21"/>
        <v>101325.03256922857</v>
      </c>
    </row>
    <row r="649" spans="1:7" x14ac:dyDescent="0.25">
      <c r="A649">
        <v>3047</v>
      </c>
      <c r="B649" s="3">
        <v>0</v>
      </c>
      <c r="C649" s="3">
        <f>B649*$K$4</f>
        <v>0</v>
      </c>
      <c r="D649" s="3">
        <f>(E648/$K$1)*$K$2*1</f>
        <v>4.2305695028761661E-4</v>
      </c>
      <c r="E649" s="3">
        <f t="shared" si="20"/>
        <v>5.2081564864638587E-2</v>
      </c>
      <c r="F649" s="3">
        <f>E649/$K$1</f>
        <v>6.4561255565437695E-3</v>
      </c>
      <c r="G649" s="5">
        <f t="shared" si="21"/>
        <v>101325.03212408681</v>
      </c>
    </row>
    <row r="650" spans="1:7" x14ac:dyDescent="0.25">
      <c r="A650">
        <v>3048</v>
      </c>
      <c r="B650" s="3">
        <v>0</v>
      </c>
      <c r="C650" s="3">
        <f>B650*$K$4</f>
        <v>0</v>
      </c>
      <c r="D650" s="3">
        <f>(E649/$K$1)*$K$2*1</f>
        <v>4.1964816117534505E-4</v>
      </c>
      <c r="E650" s="3">
        <f t="shared" si="20"/>
        <v>5.1661916703463241E-2</v>
      </c>
      <c r="F650" s="3">
        <f>E650/$K$1</f>
        <v>6.404105206825739E-3</v>
      </c>
      <c r="G650" s="5">
        <f t="shared" si="21"/>
        <v>101325.03168199751</v>
      </c>
    </row>
    <row r="651" spans="1:7" x14ac:dyDescent="0.25">
      <c r="A651">
        <v>3049</v>
      </c>
      <c r="B651" s="3">
        <v>0</v>
      </c>
      <c r="C651" s="3">
        <f>B651*$K$4</f>
        <v>0</v>
      </c>
      <c r="D651" s="3">
        <f>(E650/$K$1)*$K$2*1</f>
        <v>4.1626683844367304E-4</v>
      </c>
      <c r="E651" s="3">
        <f t="shared" si="20"/>
        <v>5.1245649865019567E-2</v>
      </c>
      <c r="F651" s="3">
        <f>E651/$K$1</f>
        <v>6.3525040120267218E-3</v>
      </c>
      <c r="G651" s="5">
        <f t="shared" si="21"/>
        <v>101325.03124296076</v>
      </c>
    </row>
    <row r="652" spans="1:7" x14ac:dyDescent="0.25">
      <c r="A652">
        <v>3050</v>
      </c>
      <c r="B652" s="3">
        <v>0</v>
      </c>
      <c r="C652" s="3">
        <f>B652*$K$4</f>
        <v>0</v>
      </c>
      <c r="D652" s="3">
        <f>(E651/$K$1)*$K$2*1</f>
        <v>4.129127607817369E-4</v>
      </c>
      <c r="E652" s="3">
        <f t="shared" si="20"/>
        <v>5.083273710423783E-2</v>
      </c>
      <c r="F652" s="3">
        <f>E652/$K$1</f>
        <v>6.3013185947982933E-3</v>
      </c>
      <c r="G652" s="5">
        <f t="shared" si="21"/>
        <v>101325.03080697662</v>
      </c>
    </row>
    <row r="653" spans="1:7" x14ac:dyDescent="0.25">
      <c r="A653">
        <v>3051</v>
      </c>
      <c r="B653" s="3">
        <v>0</v>
      </c>
      <c r="C653" s="3">
        <f>B653*$K$4</f>
        <v>0</v>
      </c>
      <c r="D653" s="3">
        <f>(E652/$K$1)*$K$2*1</f>
        <v>4.0958570866188906E-4</v>
      </c>
      <c r="E653" s="3">
        <f t="shared" si="20"/>
        <v>5.0423151395575939E-2</v>
      </c>
      <c r="F653" s="3">
        <f>E653/$K$1</f>
        <v>6.2505456050050744E-3</v>
      </c>
      <c r="G653" s="5">
        <f t="shared" si="21"/>
        <v>101325.03037404516</v>
      </c>
    </row>
    <row r="654" spans="1:7" x14ac:dyDescent="0.25">
      <c r="A654">
        <v>3052</v>
      </c>
      <c r="B654" s="3">
        <v>0</v>
      </c>
      <c r="C654" s="3">
        <f>B654*$K$4</f>
        <v>0</v>
      </c>
      <c r="D654" s="3">
        <f>(E653/$K$1)*$K$2*1</f>
        <v>4.0628546432532986E-4</v>
      </c>
      <c r="E654" s="3">
        <f t="shared" si="20"/>
        <v>5.0016865931250612E-2</v>
      </c>
      <c r="F654" s="3">
        <f>E654/$K$1</f>
        <v>6.2001817195054681E-3</v>
      </c>
      <c r="G654" s="5">
        <f t="shared" si="21"/>
        <v>101325.02994416647</v>
      </c>
    </row>
    <row r="655" spans="1:7" x14ac:dyDescent="0.25">
      <c r="A655">
        <v>3053</v>
      </c>
      <c r="B655" s="3">
        <v>0</v>
      </c>
      <c r="C655" s="3">
        <f>B655*$K$4</f>
        <v>0</v>
      </c>
      <c r="D655" s="3">
        <f>(E654/$K$1)*$K$2*1</f>
        <v>4.0301181176785546E-4</v>
      </c>
      <c r="E655" s="3">
        <f t="shared" si="20"/>
        <v>4.9613854119482756E-2</v>
      </c>
      <c r="F655" s="3">
        <f>E655/$K$1</f>
        <v>6.1502236419341463E-3</v>
      </c>
      <c r="G655" s="5">
        <f t="shared" si="21"/>
        <v>101325.02951734062</v>
      </c>
    </row>
    <row r="656" spans="1:7" x14ac:dyDescent="0.25">
      <c r="A656">
        <v>3054</v>
      </c>
      <c r="B656" s="3">
        <v>0</v>
      </c>
      <c r="C656" s="3">
        <f>B656*$K$4</f>
        <v>0</v>
      </c>
      <c r="D656" s="3">
        <f>(E655/$K$1)*$K$2*1</f>
        <v>3.9976453672571952E-4</v>
      </c>
      <c r="E656" s="3">
        <f t="shared" si="20"/>
        <v>4.921408958275704E-2</v>
      </c>
      <c r="F656" s="3">
        <f>E656/$K$1</f>
        <v>6.1006681024863068E-3</v>
      </c>
      <c r="G656" s="5">
        <f t="shared" si="21"/>
        <v>101325.02909356769</v>
      </c>
    </row>
    <row r="657" spans="1:7" x14ac:dyDescent="0.25">
      <c r="A657">
        <v>3055</v>
      </c>
      <c r="B657" s="3">
        <v>0</v>
      </c>
      <c r="C657" s="3">
        <f>B657*$K$4</f>
        <v>0</v>
      </c>
      <c r="D657" s="3">
        <f>(E656/$K$1)*$K$2*1</f>
        <v>3.9654342666160997E-4</v>
      </c>
      <c r="E657" s="3">
        <f t="shared" si="20"/>
        <v>4.8817546156095432E-2</v>
      </c>
      <c r="F657" s="3">
        <f>E657/$K$1</f>
        <v>6.0515118577036606E-3</v>
      </c>
      <c r="G657" s="5">
        <f t="shared" si="21"/>
        <v>101325.02867284775</v>
      </c>
    </row>
    <row r="658" spans="1:7" x14ac:dyDescent="0.25">
      <c r="A658">
        <v>3056</v>
      </c>
      <c r="B658" s="3">
        <v>0</v>
      </c>
      <c r="C658" s="3">
        <f>B658*$K$4</f>
        <v>0</v>
      </c>
      <c r="D658" s="3">
        <f>(E657/$K$1)*$K$2*1</f>
        <v>3.9334827075073793E-4</v>
      </c>
      <c r="E658" s="3">
        <f t="shared" si="20"/>
        <v>4.8424197885344696E-2</v>
      </c>
      <c r="F658" s="3">
        <f>E658/$K$1</f>
        <v>6.0027516902621415E-3</v>
      </c>
      <c r="G658" s="5">
        <f t="shared" si="21"/>
        <v>101325.02825518089</v>
      </c>
    </row>
    <row r="659" spans="1:7" x14ac:dyDescent="0.25">
      <c r="A659">
        <v>3057</v>
      </c>
      <c r="B659" s="3">
        <v>0</v>
      </c>
      <c r="C659" s="3">
        <f>B659*$K$4</f>
        <v>0</v>
      </c>
      <c r="D659" s="3">
        <f>(E658/$K$1)*$K$2*1</f>
        <v>3.901788598670392E-4</v>
      </c>
      <c r="E659" s="3">
        <f t="shared" si="20"/>
        <v>4.8034019025477659E-2</v>
      </c>
      <c r="F659" s="3">
        <f>E659/$K$1</f>
        <v>5.9543844087613313E-3</v>
      </c>
      <c r="G659" s="5">
        <f t="shared" si="21"/>
        <v>101325.02784056719</v>
      </c>
    </row>
    <row r="660" spans="1:7" x14ac:dyDescent="0.25">
      <c r="A660">
        <v>3058</v>
      </c>
      <c r="B660" s="3">
        <v>0</v>
      </c>
      <c r="C660" s="3">
        <f>B660*$K$4</f>
        <v>0</v>
      </c>
      <c r="D660" s="3">
        <f>(E659/$K$1)*$K$2*1</f>
        <v>3.8703498656948655E-4</v>
      </c>
      <c r="E660" s="3">
        <f t="shared" si="20"/>
        <v>4.7646984038908172E-2</v>
      </c>
      <c r="F660" s="3">
        <f>E660/$K$1</f>
        <v>5.906406847515578E-3</v>
      </c>
      <c r="G660" s="5">
        <f t="shared" si="21"/>
        <v>101325.02742900673</v>
      </c>
    </row>
    <row r="661" spans="1:7" x14ac:dyDescent="0.25">
      <c r="A661">
        <v>3059</v>
      </c>
      <c r="B661" s="3">
        <v>0</v>
      </c>
      <c r="C661" s="3">
        <f>B661*$K$4</f>
        <v>0</v>
      </c>
      <c r="D661" s="3">
        <f>(E660/$K$1)*$K$2*1</f>
        <v>3.8391644508851258E-4</v>
      </c>
      <c r="E661" s="3">
        <f t="shared" si="20"/>
        <v>4.7263067593819659E-2</v>
      </c>
      <c r="F661" s="3">
        <f>E661/$K$1</f>
        <v>5.8588158663468032E-3</v>
      </c>
      <c r="G661" s="5">
        <f t="shared" si="21"/>
        <v>101325.0270204996</v>
      </c>
    </row>
    <row r="662" spans="1:7" x14ac:dyDescent="0.25">
      <c r="A662">
        <v>3060</v>
      </c>
      <c r="B662" s="3">
        <v>0</v>
      </c>
      <c r="C662" s="3">
        <f>B662*$K$4</f>
        <v>0</v>
      </c>
      <c r="D662" s="3">
        <f>(E661/$K$1)*$K$2*1</f>
        <v>3.8082303131254221E-4</v>
      </c>
      <c r="E662" s="3">
        <f t="shared" si="20"/>
        <v>4.6882244562507114E-2</v>
      </c>
      <c r="F662" s="3">
        <f>E662/$K$1</f>
        <v>5.8116083503789656E-3</v>
      </c>
      <c r="G662" s="5">
        <f t="shared" si="21"/>
        <v>101325.02661504588</v>
      </c>
    </row>
    <row r="663" spans="1:7" x14ac:dyDescent="0.25">
      <c r="A663">
        <v>3061</v>
      </c>
      <c r="B663" s="3">
        <v>0</v>
      </c>
      <c r="C663" s="3">
        <f>B663*$K$4</f>
        <v>0</v>
      </c>
      <c r="D663" s="3">
        <f>(E662/$K$1)*$K$2*1</f>
        <v>3.777545427746328E-4</v>
      </c>
      <c r="E663" s="3">
        <f t="shared" si="20"/>
        <v>4.6504490019732482E-2</v>
      </c>
      <c r="F663" s="3">
        <f>E663/$K$1</f>
        <v>5.7647812098341987E-3</v>
      </c>
      <c r="G663" s="5">
        <f t="shared" si="21"/>
        <v>101325.02621264565</v>
      </c>
    </row>
    <row r="664" spans="1:7" x14ac:dyDescent="0.25">
      <c r="A664">
        <v>3062</v>
      </c>
      <c r="B664" s="3">
        <v>0</v>
      </c>
      <c r="C664" s="3">
        <f>B664*$K$4</f>
        <v>0</v>
      </c>
      <c r="D664" s="3">
        <f>(E663/$K$1)*$K$2*1</f>
        <v>3.7471077863922292E-4</v>
      </c>
      <c r="E664" s="3">
        <f t="shared" si="20"/>
        <v>4.6129779241093259E-2</v>
      </c>
      <c r="F664" s="3">
        <f>E664/$K$1</f>
        <v>5.718331379830576E-3</v>
      </c>
      <c r="G664" s="5">
        <f t="shared" si="21"/>
        <v>101325.02581329901</v>
      </c>
    </row>
    <row r="665" spans="1:7" x14ac:dyDescent="0.25">
      <c r="A665">
        <v>3063</v>
      </c>
      <c r="B665" s="3">
        <v>0</v>
      </c>
      <c r="C665" s="3">
        <f>B665*$K$4</f>
        <v>0</v>
      </c>
      <c r="D665" s="3">
        <f>(E664/$K$1)*$K$2*1</f>
        <v>3.7169153968898746E-4</v>
      </c>
      <c r="E665" s="3">
        <f t="shared" si="20"/>
        <v>4.5758087701404271E-2</v>
      </c>
      <c r="F665" s="3">
        <f>E665/$K$1</f>
        <v>5.6722558201815132E-3</v>
      </c>
      <c r="G665" s="5">
        <f t="shared" si="21"/>
        <v>101325.02541700605</v>
      </c>
    </row>
    <row r="666" spans="1:7" x14ac:dyDescent="0.25">
      <c r="A666">
        <v>3064</v>
      </c>
      <c r="B666" s="3">
        <v>0</v>
      </c>
      <c r="C666" s="3">
        <f>B666*$K$4</f>
        <v>0</v>
      </c>
      <c r="D666" s="3">
        <f>(E665/$K$1)*$K$2*1</f>
        <v>3.6869662831179838E-4</v>
      </c>
      <c r="E666" s="3">
        <f t="shared" si="20"/>
        <v>4.5389391073092471E-2</v>
      </c>
      <c r="F666" s="3">
        <f>E666/$K$1</f>
        <v>5.6265515151967859E-3</v>
      </c>
      <c r="G666" s="5">
        <f t="shared" si="21"/>
        <v>101325.02502376685</v>
      </c>
    </row>
    <row r="667" spans="1:7" x14ac:dyDescent="0.25">
      <c r="A667">
        <v>3065</v>
      </c>
      <c r="B667" s="3">
        <v>0</v>
      </c>
      <c r="C667" s="3">
        <f>B667*$K$4</f>
        <v>0</v>
      </c>
      <c r="D667" s="3">
        <f>(E666/$K$1)*$K$2*1</f>
        <v>3.6572584848779111E-4</v>
      </c>
      <c r="E667" s="3">
        <f t="shared" si="20"/>
        <v>4.502366522460468E-2</v>
      </c>
      <c r="F667" s="3">
        <f>E667/$K$1</f>
        <v>5.5812154734851465E-3</v>
      </c>
      <c r="G667" s="5">
        <f t="shared" si="21"/>
        <v>101325.02463358152</v>
      </c>
    </row>
    <row r="668" spans="1:7" x14ac:dyDescent="0.25">
      <c r="A668">
        <v>3066</v>
      </c>
      <c r="B668" s="3">
        <v>0</v>
      </c>
      <c r="C668" s="3">
        <f>B668*$K$4</f>
        <v>0</v>
      </c>
      <c r="D668" s="3">
        <f>(E667/$K$1)*$K$2*1</f>
        <v>3.6277900577653456E-4</v>
      </c>
      <c r="E668" s="3">
        <f t="shared" si="20"/>
        <v>4.4660886218828147E-2</v>
      </c>
      <c r="F668" s="3">
        <f>E668/$K$1</f>
        <v>5.5362447277585401E-3</v>
      </c>
      <c r="G668" s="5">
        <f t="shared" si="21"/>
        <v>101325.02424645014</v>
      </c>
    </row>
    <row r="669" spans="1:7" x14ac:dyDescent="0.25">
      <c r="A669">
        <v>3067</v>
      </c>
      <c r="B669" s="3">
        <v>0</v>
      </c>
      <c r="C669" s="3">
        <f>B669*$K$4</f>
        <v>0</v>
      </c>
      <c r="D669" s="3">
        <f>(E668/$K$1)*$K$2*1</f>
        <v>3.5985590730430511E-4</v>
      </c>
      <c r="E669" s="3">
        <f t="shared" si="20"/>
        <v>4.430103031152384E-2</v>
      </c>
      <c r="F669" s="3">
        <f>E669/$K$1</f>
        <v>5.4916363346378871E-3</v>
      </c>
      <c r="G669" s="5">
        <f t="shared" si="21"/>
        <v>101325.02386237279</v>
      </c>
    </row>
    <row r="670" spans="1:7" x14ac:dyDescent="0.25">
      <c r="A670">
        <v>3068</v>
      </c>
      <c r="B670" s="3">
        <v>0</v>
      </c>
      <c r="C670" s="3">
        <f>B670*$K$4</f>
        <v>0</v>
      </c>
      <c r="D670" s="3">
        <f>(E669/$K$1)*$K$2*1</f>
        <v>3.5695636175146268E-4</v>
      </c>
      <c r="E670" s="3">
        <f t="shared" si="20"/>
        <v>4.3944073949772379E-2</v>
      </c>
      <c r="F670" s="3">
        <f>E670/$K$1</f>
        <v>5.4473873744604407E-3</v>
      </c>
      <c r="G670" s="5">
        <f t="shared" si="21"/>
        <v>101325.02348134959</v>
      </c>
    </row>
    <row r="671" spans="1:7" x14ac:dyDescent="0.25">
      <c r="A671">
        <v>3069</v>
      </c>
      <c r="B671" s="3">
        <v>0</v>
      </c>
      <c r="C671" s="3">
        <f>B671*$K$4</f>
        <v>0</v>
      </c>
      <c r="D671" s="3">
        <f>(E670/$K$1)*$K$2*1</f>
        <v>3.5408017933992865E-4</v>
      </c>
      <c r="E671" s="3">
        <f t="shared" si="20"/>
        <v>4.3589993770432447E-2</v>
      </c>
      <c r="F671" s="3">
        <f>E671/$K$1</f>
        <v>5.4034949510886878E-3</v>
      </c>
      <c r="G671" s="5">
        <f t="shared" si="21"/>
        <v>101325.02310338063</v>
      </c>
    </row>
    <row r="672" spans="1:7" x14ac:dyDescent="0.25">
      <c r="A672">
        <v>3070</v>
      </c>
      <c r="B672" s="3">
        <v>0</v>
      </c>
      <c r="C672" s="3">
        <f>B672*$K$4</f>
        <v>0</v>
      </c>
      <c r="D672" s="3">
        <f>(E671/$K$1)*$K$2*1</f>
        <v>3.5122717182076472E-4</v>
      </c>
      <c r="E672" s="3">
        <f t="shared" si="20"/>
        <v>4.3238766598611686E-2</v>
      </c>
      <c r="F672" s="3">
        <f>E672/$K$1</f>
        <v>5.3599561917207989E-3</v>
      </c>
      <c r="G672" s="5">
        <f t="shared" si="21"/>
        <v>101325.02272846602</v>
      </c>
    </row>
    <row r="673" spans="1:7" x14ac:dyDescent="0.25">
      <c r="A673">
        <v>3071</v>
      </c>
      <c r="B673" s="3">
        <v>0</v>
      </c>
      <c r="C673" s="3">
        <f>B673*$K$4</f>
        <v>0</v>
      </c>
      <c r="D673" s="3">
        <f>(E672/$K$1)*$K$2*1</f>
        <v>3.4839715246185192E-4</v>
      </c>
      <c r="E673" s="3">
        <f t="shared" si="20"/>
        <v>4.2890369446149837E-2</v>
      </c>
      <c r="F673" s="3">
        <f>E673/$K$1</f>
        <v>5.3167682467025953E-3</v>
      </c>
      <c r="G673" s="5">
        <f t="shared" si="21"/>
        <v>101325.02235660586</v>
      </c>
    </row>
    <row r="674" spans="1:7" x14ac:dyDescent="0.25">
      <c r="A674">
        <v>3072</v>
      </c>
      <c r="B674" s="3">
        <v>0</v>
      </c>
      <c r="C674" s="3">
        <f>B674*$K$4</f>
        <v>0</v>
      </c>
      <c r="D674" s="3">
        <f>(E673/$K$1)*$K$2*1</f>
        <v>3.4558993603566872E-4</v>
      </c>
      <c r="E674" s="3">
        <f t="shared" si="20"/>
        <v>4.2544779510114171E-2</v>
      </c>
      <c r="F674" s="3">
        <f>E674/$K$1</f>
        <v>5.2739282893410396E-3</v>
      </c>
      <c r="G674" s="5">
        <f t="shared" si="21"/>
        <v>101325.02198780022</v>
      </c>
    </row>
    <row r="675" spans="1:7" x14ac:dyDescent="0.25">
      <c r="A675">
        <v>3073</v>
      </c>
      <c r="B675" s="3">
        <v>0</v>
      </c>
      <c r="C675" s="3">
        <f>B675*$K$4</f>
        <v>0</v>
      </c>
      <c r="D675" s="3">
        <f>(E674/$K$1)*$K$2*1</f>
        <v>3.4280533880716761E-4</v>
      </c>
      <c r="E675" s="3">
        <f t="shared" si="20"/>
        <v>4.2201974171307007E-2</v>
      </c>
      <c r="F675" s="3">
        <f>E675/$K$1</f>
        <v>5.2314335157192275E-3</v>
      </c>
      <c r="G675" s="5">
        <f t="shared" si="21"/>
        <v>101325.02162204924</v>
      </c>
    </row>
    <row r="676" spans="1:7" x14ac:dyDescent="0.25">
      <c r="A676">
        <v>3074</v>
      </c>
      <c r="B676" s="3">
        <v>0</v>
      </c>
      <c r="C676" s="3">
        <f>B676*$K$4</f>
        <v>0</v>
      </c>
      <c r="D676" s="3">
        <f>(E675/$K$1)*$K$2*1</f>
        <v>3.4004317852174979E-4</v>
      </c>
      <c r="E676" s="3">
        <f t="shared" si="20"/>
        <v>4.1861930992785255E-2</v>
      </c>
      <c r="F676" s="3">
        <f>E676/$K$1</f>
        <v>5.1892811445128613E-3</v>
      </c>
      <c r="G676" s="5">
        <f t="shared" si="21"/>
        <v>101325.02125935303</v>
      </c>
    </row>
    <row r="677" spans="1:7" x14ac:dyDescent="0.25">
      <c r="A677">
        <v>3075</v>
      </c>
      <c r="B677" s="3">
        <v>0</v>
      </c>
      <c r="C677" s="3">
        <f>B677*$K$4</f>
        <v>0</v>
      </c>
      <c r="D677" s="3">
        <f>(E676/$K$1)*$K$2*1</f>
        <v>3.3730327439333602E-4</v>
      </c>
      <c r="E677" s="3">
        <f t="shared" si="20"/>
        <v>4.1524627718391917E-2</v>
      </c>
      <c r="F677" s="3">
        <f>E677/$K$1</f>
        <v>5.1474684168082204E-3</v>
      </c>
      <c r="G677" s="5">
        <f t="shared" si="21"/>
        <v>101325.02089971167</v>
      </c>
    </row>
    <row r="678" spans="1:7" x14ac:dyDescent="0.25">
      <c r="A678">
        <v>3076</v>
      </c>
      <c r="B678" s="3">
        <v>0</v>
      </c>
      <c r="C678" s="3">
        <f>B678*$K$4</f>
        <v>0</v>
      </c>
      <c r="D678" s="3">
        <f>(E677/$K$1)*$K$2*1</f>
        <v>3.3458544709253436E-4</v>
      </c>
      <c r="E678" s="3">
        <f t="shared" si="20"/>
        <v>4.1190042271299382E-2</v>
      </c>
      <c r="F678" s="3">
        <f>E678/$K$1</f>
        <v>5.1059925959215796E-3</v>
      </c>
      <c r="G678" s="5">
        <f t="shared" si="21"/>
        <v>101325.0205431253</v>
      </c>
    </row>
    <row r="679" spans="1:7" x14ac:dyDescent="0.25">
      <c r="A679">
        <v>3077</v>
      </c>
      <c r="B679" s="3">
        <v>0</v>
      </c>
      <c r="C679" s="3">
        <f>B679*$K$4</f>
        <v>0</v>
      </c>
      <c r="D679" s="3">
        <f>(E678/$K$1)*$K$2*1</f>
        <v>3.3188951873490267E-4</v>
      </c>
      <c r="E679" s="3">
        <f t="shared" si="20"/>
        <v>4.0858152752564478E-2</v>
      </c>
      <c r="F679" s="3">
        <f>E679/$K$1</f>
        <v>5.0648509672200914E-3</v>
      </c>
      <c r="G679" s="5">
        <f t="shared" si="21"/>
        <v>101325.02018959401</v>
      </c>
    </row>
    <row r="680" spans="1:7" x14ac:dyDescent="0.25">
      <c r="A680">
        <v>3078</v>
      </c>
      <c r="B680" s="3">
        <v>0</v>
      </c>
      <c r="C680" s="3">
        <f>B680*$K$4</f>
        <v>0</v>
      </c>
      <c r="D680" s="3">
        <f>(E679/$K$1)*$K$2*1</f>
        <v>3.2921531286930593E-4</v>
      </c>
      <c r="E680" s="3">
        <f t="shared" si="20"/>
        <v>4.052893743969517E-2</v>
      </c>
      <c r="F680" s="3">
        <f>E680/$K$1</f>
        <v>5.0240408379441139E-3</v>
      </c>
      <c r="G680" s="5">
        <f t="shared" si="21"/>
        <v>101325.01983911791</v>
      </c>
    </row>
    <row r="681" spans="1:7" x14ac:dyDescent="0.25">
      <c r="A681">
        <v>3079</v>
      </c>
      <c r="B681" s="3">
        <v>0</v>
      </c>
      <c r="C681" s="3">
        <f>B681*$K$4</f>
        <v>0</v>
      </c>
      <c r="D681" s="3">
        <f>(E680/$K$1)*$K$2*1</f>
        <v>3.2656265446636741E-4</v>
      </c>
      <c r="E681" s="3">
        <f t="shared" si="20"/>
        <v>4.0202374785228805E-2</v>
      </c>
      <c r="F681" s="3">
        <f>E681/$K$1</f>
        <v>4.983559537030966E-3</v>
      </c>
      <c r="G681" s="5">
        <f t="shared" si="21"/>
        <v>101325.01949169714</v>
      </c>
    </row>
    <row r="682" spans="1:7" x14ac:dyDescent="0.25">
      <c r="A682">
        <v>3080</v>
      </c>
      <c r="B682" s="3">
        <v>0</v>
      </c>
      <c r="C682" s="3">
        <f>B682*$K$4</f>
        <v>0</v>
      </c>
      <c r="D682" s="3">
        <f>(E681/$K$1)*$K$2*1</f>
        <v>3.239313699070128E-4</v>
      </c>
      <c r="E682" s="3">
        <f t="shared" si="20"/>
        <v>3.987844341532179E-2</v>
      </c>
      <c r="F682" s="3">
        <f>E682/$K$1</f>
        <v>4.9434044149401007E-3</v>
      </c>
      <c r="G682" s="5">
        <f t="shared" si="21"/>
        <v>101325.0191473318</v>
      </c>
    </row>
    <row r="683" spans="1:7" x14ac:dyDescent="0.25">
      <c r="A683">
        <v>3081</v>
      </c>
      <c r="B683" s="3">
        <v>0</v>
      </c>
      <c r="C683" s="3">
        <f>B683*$K$4</f>
        <v>0</v>
      </c>
      <c r="D683" s="3">
        <f>(E682/$K$1)*$K$2*1</f>
        <v>3.2132128697110655E-4</v>
      </c>
      <c r="E683" s="3">
        <f t="shared" si="20"/>
        <v>3.9557122128350684E-2</v>
      </c>
      <c r="F683" s="3">
        <f>E683/$K$1</f>
        <v>4.9035728434796933E-3</v>
      </c>
      <c r="G683" s="5">
        <f t="shared" si="21"/>
        <v>101325.01880602201</v>
      </c>
    </row>
    <row r="684" spans="1:7" x14ac:dyDescent="0.25">
      <c r="A684">
        <v>3082</v>
      </c>
      <c r="B684" s="3">
        <v>0</v>
      </c>
      <c r="C684" s="3">
        <f>B684*$K$4</f>
        <v>0</v>
      </c>
      <c r="D684" s="3">
        <f>(E683/$K$1)*$K$2*1</f>
        <v>3.187322348261801E-4</v>
      </c>
      <c r="E684" s="3">
        <f t="shared" si="20"/>
        <v>3.9238389893524503E-2</v>
      </c>
      <c r="F684" s="3">
        <f>E684/$K$1</f>
        <v>4.8640622156346227E-3</v>
      </c>
      <c r="G684" s="5">
        <f t="shared" si="21"/>
        <v>101325.01846776791</v>
      </c>
    </row>
    <row r="685" spans="1:7" x14ac:dyDescent="0.25">
      <c r="A685">
        <v>3083</v>
      </c>
      <c r="B685" s="3">
        <v>0</v>
      </c>
      <c r="C685" s="3">
        <f>B685*$K$4</f>
        <v>0</v>
      </c>
      <c r="D685" s="3">
        <f>(E684/$K$1)*$K$2*1</f>
        <v>3.1616404401625051E-4</v>
      </c>
      <c r="E685" s="3">
        <f t="shared" si="20"/>
        <v>3.8922225849508253E-2</v>
      </c>
      <c r="F685" s="3">
        <f>E685/$K$1</f>
        <v>4.8248699453958413E-3</v>
      </c>
      <c r="G685" s="5">
        <f t="shared" si="21"/>
        <v>101325.0181325696</v>
      </c>
    </row>
    <row r="686" spans="1:7" x14ac:dyDescent="0.25">
      <c r="A686">
        <v>3084</v>
      </c>
      <c r="B686" s="3">
        <v>0</v>
      </c>
      <c r="C686" s="3">
        <f>B686*$K$4</f>
        <v>0</v>
      </c>
      <c r="D686" s="3">
        <f>(E685/$K$1)*$K$2*1</f>
        <v>3.1361654645072968E-4</v>
      </c>
      <c r="E686" s="3">
        <f t="shared" si="20"/>
        <v>3.8608609303057526E-2</v>
      </c>
      <c r="F686" s="3">
        <f>E686/$K$1</f>
        <v>4.7859934675911148E-3</v>
      </c>
      <c r="G686" s="5">
        <f t="shared" si="21"/>
        <v>101325.01780042723</v>
      </c>
    </row>
    <row r="687" spans="1:7" x14ac:dyDescent="0.25">
      <c r="A687">
        <v>3085</v>
      </c>
      <c r="B687" s="3">
        <v>0</v>
      </c>
      <c r="C687" s="3">
        <f>B687*$K$4</f>
        <v>0</v>
      </c>
      <c r="D687" s="3">
        <f>(E686/$K$1)*$K$2*1</f>
        <v>3.1108957539342249E-4</v>
      </c>
      <c r="E687" s="3">
        <f t="shared" si="20"/>
        <v>3.8297519727664105E-2</v>
      </c>
      <c r="F687" s="3">
        <f>E687/$K$1</f>
        <v>4.747430237717132E-3</v>
      </c>
      <c r="G687" s="5">
        <f t="shared" si="21"/>
        <v>101325.01747134092</v>
      </c>
    </row>
    <row r="688" spans="1:7" x14ac:dyDescent="0.25">
      <c r="A688">
        <v>3086</v>
      </c>
      <c r="B688" s="3">
        <v>0</v>
      </c>
      <c r="C688" s="3">
        <f>B688*$K$4</f>
        <v>0</v>
      </c>
      <c r="D688" s="3">
        <f>(E687/$K$1)*$K$2*1</f>
        <v>3.0858296545161357E-4</v>
      </c>
      <c r="E688" s="3">
        <f t="shared" si="20"/>
        <v>3.7988936762212488E-2</v>
      </c>
      <c r="F688" s="3">
        <f>E688/$K$1</f>
        <v>4.7091777317729627E-3</v>
      </c>
      <c r="G688" s="5">
        <f t="shared" si="21"/>
        <v>101325.01714531081</v>
      </c>
    </row>
    <row r="689" spans="1:7" x14ac:dyDescent="0.25">
      <c r="A689">
        <v>3087</v>
      </c>
      <c r="B689" s="3">
        <v>0</v>
      </c>
      <c r="C689" s="3">
        <f>B689*$K$4</f>
        <v>0</v>
      </c>
      <c r="D689" s="3">
        <f>(E688/$K$1)*$K$2*1</f>
        <v>3.0609655256524259E-4</v>
      </c>
      <c r="E689" s="3">
        <f t="shared" si="20"/>
        <v>3.7682840209647246E-2</v>
      </c>
      <c r="F689" s="3">
        <f>E689/$K$1</f>
        <v>4.671233446094861E-3</v>
      </c>
      <c r="G689" s="5">
        <f t="shared" si="21"/>
        <v>101325.01682233701</v>
      </c>
    </row>
    <row r="690" spans="1:7" x14ac:dyDescent="0.25">
      <c r="A690">
        <v>3088</v>
      </c>
      <c r="B690" s="3">
        <v>0</v>
      </c>
      <c r="C690" s="3">
        <f>B690*$K$4</f>
        <v>0</v>
      </c>
      <c r="D690" s="3">
        <f>(E689/$K$1)*$K$2*1</f>
        <v>3.0363017399616599E-4</v>
      </c>
      <c r="E690" s="3">
        <f t="shared" si="20"/>
        <v>3.7379210035651082E-2</v>
      </c>
      <c r="F690" s="3">
        <f>E690/$K$1</f>
        <v>4.6335948971923989E-3</v>
      </c>
      <c r="G690" s="5">
        <f t="shared" si="21"/>
        <v>101325.01650241968</v>
      </c>
    </row>
    <row r="691" spans="1:7" x14ac:dyDescent="0.25">
      <c r="A691">
        <v>3089</v>
      </c>
      <c r="B691" s="3">
        <v>0</v>
      </c>
      <c r="C691" s="3">
        <f>B691*$K$4</f>
        <v>0</v>
      </c>
      <c r="D691" s="3">
        <f>(E690/$K$1)*$K$2*1</f>
        <v>3.0118366831750594E-4</v>
      </c>
      <c r="E691" s="3">
        <f t="shared" si="20"/>
        <v>3.7078026367333573E-2</v>
      </c>
      <c r="F691" s="3">
        <f>E691/$K$1</f>
        <v>4.5962596215859148E-3</v>
      </c>
      <c r="G691" s="5">
        <f t="shared" si="21"/>
        <v>101325.01618555895</v>
      </c>
    </row>
    <row r="692" spans="1:7" x14ac:dyDescent="0.25">
      <c r="A692">
        <v>3090</v>
      </c>
      <c r="B692" s="3">
        <v>0</v>
      </c>
      <c r="C692" s="3">
        <f>B692*$K$4</f>
        <v>0</v>
      </c>
      <c r="D692" s="3">
        <f>(E691/$K$1)*$K$2*1</f>
        <v>2.9875687540308445E-4</v>
      </c>
      <c r="E692" s="3">
        <f t="shared" si="20"/>
        <v>3.6779269491930486E-2</v>
      </c>
      <c r="F692" s="3">
        <f>E692/$K$1</f>
        <v>4.5592251756452814E-3</v>
      </c>
      <c r="G692" s="5">
        <f t="shared" si="21"/>
        <v>101325.01587175496</v>
      </c>
    </row>
    <row r="693" spans="1:7" x14ac:dyDescent="0.25">
      <c r="A693">
        <v>3091</v>
      </c>
      <c r="B693" s="3">
        <v>0</v>
      </c>
      <c r="C693" s="3">
        <f>B693*$K$4</f>
        <v>0</v>
      </c>
      <c r="D693" s="3">
        <f>(E692/$K$1)*$K$2*1</f>
        <v>2.9634963641694329E-4</v>
      </c>
      <c r="E693" s="3">
        <f t="shared" si="20"/>
        <v>3.6482919855513544E-2</v>
      </c>
      <c r="F693" s="3">
        <f>E693/$K$1</f>
        <v>4.5224891354299669E-3</v>
      </c>
      <c r="G693" s="5">
        <f t="shared" si="21"/>
        <v>101325.01556100787</v>
      </c>
    </row>
    <row r="694" spans="1:7" x14ac:dyDescent="0.25">
      <c r="A694">
        <v>3092</v>
      </c>
      <c r="B694" s="3">
        <v>0</v>
      </c>
      <c r="C694" s="3">
        <f>B694*$K$4</f>
        <v>0</v>
      </c>
      <c r="D694" s="3">
        <f>(E693/$K$1)*$K$2*1</f>
        <v>2.9396179380294788E-4</v>
      </c>
      <c r="E694" s="3">
        <f t="shared" si="20"/>
        <v>3.6188958061710595E-2</v>
      </c>
      <c r="F694" s="3">
        <f>E694/$K$1</f>
        <v>4.4860490965303824E-3</v>
      </c>
      <c r="G694" s="5">
        <f t="shared" si="21"/>
        <v>101325.0152533178</v>
      </c>
    </row>
    <row r="695" spans="1:7" x14ac:dyDescent="0.25">
      <c r="A695">
        <v>3093</v>
      </c>
      <c r="B695" s="3">
        <v>0</v>
      </c>
      <c r="C695" s="3">
        <f>B695*$K$4</f>
        <v>0</v>
      </c>
      <c r="D695" s="3">
        <f>(E694/$K$1)*$K$2*1</f>
        <v>2.9159319127447487E-4</v>
      </c>
      <c r="E695" s="3">
        <f t="shared" si="20"/>
        <v>3.589736487043612E-2</v>
      </c>
      <c r="F695" s="3">
        <f>E695/$K$1</f>
        <v>4.4499026739105146E-3</v>
      </c>
      <c r="G695" s="5">
        <f t="shared" si="21"/>
        <v>101325.01494868494</v>
      </c>
    </row>
    <row r="696" spans="1:7" x14ac:dyDescent="0.25">
      <c r="A696">
        <v>3094</v>
      </c>
      <c r="B696" s="3">
        <v>0</v>
      </c>
      <c r="C696" s="3">
        <f>B696*$K$4</f>
        <v>0</v>
      </c>
      <c r="D696" s="3">
        <f>(E695/$K$1)*$K$2*1</f>
        <v>2.8924367380418346E-4</v>
      </c>
      <c r="E696" s="3">
        <f t="shared" si="20"/>
        <v>3.5608121196631939E-2</v>
      </c>
      <c r="F696" s="3">
        <f>E696/$K$1</f>
        <v>4.4140475017518206E-3</v>
      </c>
      <c r="G696" s="5">
        <f t="shared" si="21"/>
        <v>101325.01464710942</v>
      </c>
    </row>
    <row r="697" spans="1:7" x14ac:dyDescent="0.25">
      <c r="A697">
        <v>3095</v>
      </c>
      <c r="B697" s="3">
        <v>0</v>
      </c>
      <c r="C697" s="3">
        <f>B697*$K$4</f>
        <v>0</v>
      </c>
      <c r="D697" s="3">
        <f>(E696/$K$1)*$K$2*1</f>
        <v>2.8691308761386833E-4</v>
      </c>
      <c r="E697" s="3">
        <f t="shared" si="20"/>
        <v>3.5321208109018072E-2</v>
      </c>
      <c r="F697" s="3">
        <f>E697/$K$1</f>
        <v>4.378481233298385E-3</v>
      </c>
      <c r="G697" s="5">
        <f t="shared" si="21"/>
        <v>101325.01434859139</v>
      </c>
    </row>
    <row r="698" spans="1:7" x14ac:dyDescent="0.25">
      <c r="A698">
        <v>3096</v>
      </c>
      <c r="B698" s="3">
        <v>0</v>
      </c>
      <c r="C698" s="3">
        <f>B698*$K$4</f>
        <v>0</v>
      </c>
      <c r="D698" s="3">
        <f>(E697/$K$1)*$K$2*1</f>
        <v>2.8460128016439504E-4</v>
      </c>
      <c r="E698" s="3">
        <f t="shared" si="20"/>
        <v>3.5036606828853678E-2</v>
      </c>
      <c r="F698" s="3">
        <f>E698/$K$1</f>
        <v>4.3432015407033195E-3</v>
      </c>
      <c r="G698" s="5">
        <f t="shared" si="21"/>
        <v>101325.01405313102</v>
      </c>
    </row>
    <row r="699" spans="1:7" x14ac:dyDescent="0.25">
      <c r="A699">
        <v>3097</v>
      </c>
      <c r="B699" s="3">
        <v>0</v>
      </c>
      <c r="C699" s="3">
        <f>B699*$K$4</f>
        <v>0</v>
      </c>
      <c r="D699" s="3">
        <f>(E698/$K$1)*$K$2*1</f>
        <v>2.8230810014571577E-4</v>
      </c>
      <c r="E699" s="3">
        <f t="shared" si="20"/>
        <v>3.4754298728707965E-2</v>
      </c>
      <c r="F699" s="3">
        <f>E699/$K$1</f>
        <v>4.3082061148764055E-3</v>
      </c>
      <c r="G699" s="5">
        <f t="shared" si="21"/>
        <v>101325.01376072847</v>
      </c>
    </row>
    <row r="700" spans="1:7" x14ac:dyDescent="0.25">
      <c r="A700">
        <v>3098</v>
      </c>
      <c r="B700" s="3">
        <v>0</v>
      </c>
      <c r="C700" s="3">
        <f>B700*$K$4</f>
        <v>0</v>
      </c>
      <c r="D700" s="3">
        <f>(E699/$K$1)*$K$2*1</f>
        <v>2.8003339746696636E-4</v>
      </c>
      <c r="E700" s="3">
        <f t="shared" si="20"/>
        <v>3.4474265331240997E-2</v>
      </c>
      <c r="F700" s="3">
        <f>E700/$K$1</f>
        <v>4.2734926653329609E-3</v>
      </c>
      <c r="G700" s="5">
        <f t="shared" si="21"/>
        <v>101325.01347138392</v>
      </c>
    </row>
    <row r="701" spans="1:7" x14ac:dyDescent="0.25">
      <c r="A701">
        <v>3099</v>
      </c>
      <c r="B701" s="3">
        <v>0</v>
      </c>
      <c r="C701" s="3">
        <f>B701*$K$4</f>
        <v>0</v>
      </c>
      <c r="D701" s="3">
        <f>(E700/$K$1)*$K$2*1</f>
        <v>2.7777702324664245E-4</v>
      </c>
      <c r="E701" s="3">
        <f t="shared" si="20"/>
        <v>3.4196488307994356E-2</v>
      </c>
      <c r="F701" s="3">
        <f>E701/$K$1</f>
        <v>4.2390589200439269E-3</v>
      </c>
      <c r="G701" s="5">
        <f t="shared" si="21"/>
        <v>101325.01318509753</v>
      </c>
    </row>
    <row r="702" spans="1:7" x14ac:dyDescent="0.25">
      <c r="A702">
        <v>3100</v>
      </c>
      <c r="B702" s="3">
        <v>0</v>
      </c>
      <c r="C702" s="3">
        <f>B702*$K$4</f>
        <v>0</v>
      </c>
      <c r="D702" s="3">
        <f>(E701/$K$1)*$K$2*1</f>
        <v>2.7553882980285526E-4</v>
      </c>
      <c r="E702" s="3">
        <f t="shared" si="20"/>
        <v>3.3920949478191499E-2</v>
      </c>
      <c r="F702" s="3">
        <f>E702/$K$1</f>
        <v>4.2049026252871571E-3</v>
      </c>
      <c r="G702" s="5">
        <f t="shared" si="21"/>
        <v>101325.01290186947</v>
      </c>
    </row>
    <row r="703" spans="1:7" x14ac:dyDescent="0.25">
      <c r="A703">
        <v>3101</v>
      </c>
      <c r="B703" s="3">
        <v>0</v>
      </c>
      <c r="C703" s="3">
        <f>B703*$K$4</f>
        <v>0</v>
      </c>
      <c r="D703" s="3">
        <f>(E702/$K$1)*$K$2*1</f>
        <v>2.7331867064366521E-4</v>
      </c>
      <c r="E703" s="3">
        <f t="shared" si="20"/>
        <v>3.3647630807547832E-2</v>
      </c>
      <c r="F703" s="3">
        <f>E703/$K$1</f>
        <v>4.1710215454999174E-3</v>
      </c>
      <c r="G703" s="5">
        <f t="shared" si="21"/>
        <v>101325.01262169992</v>
      </c>
    </row>
    <row r="704" spans="1:7" x14ac:dyDescent="0.25">
      <c r="A704">
        <v>3102</v>
      </c>
      <c r="B704" s="3">
        <v>0</v>
      </c>
      <c r="C704" s="3">
        <f>B704*$K$4</f>
        <v>0</v>
      </c>
      <c r="D704" s="3">
        <f>(E703/$K$1)*$K$2*1</f>
        <v>2.7111640045749465E-4</v>
      </c>
      <c r="E704" s="3">
        <f t="shared" si="20"/>
        <v>3.3376514407090337E-2</v>
      </c>
      <c r="F704" s="3">
        <f>E704/$K$1</f>
        <v>4.137413463132557E-3</v>
      </c>
      <c r="G704" s="5">
        <f t="shared" si="21"/>
        <v>101325.01234458906</v>
      </c>
    </row>
    <row r="705" spans="1:7" x14ac:dyDescent="0.25">
      <c r="A705">
        <v>3103</v>
      </c>
      <c r="B705" s="3">
        <v>0</v>
      </c>
      <c r="C705" s="3">
        <f>B705*$K$4</f>
        <v>0</v>
      </c>
      <c r="D705" s="3">
        <f>(E704/$K$1)*$K$2*1</f>
        <v>2.6893187510361623E-4</v>
      </c>
      <c r="E705" s="3">
        <f t="shared" si="20"/>
        <v>3.3107582531986722E-2</v>
      </c>
      <c r="F705" s="3">
        <f>E705/$K$1</f>
        <v>4.1040761785033743E-3</v>
      </c>
      <c r="G705" s="5">
        <f t="shared" si="21"/>
        <v>101325.01207053709</v>
      </c>
    </row>
    <row r="706" spans="1:7" x14ac:dyDescent="0.25">
      <c r="A706">
        <v>3104</v>
      </c>
      <c r="B706" s="3">
        <v>0</v>
      </c>
      <c r="C706" s="3">
        <f>B706*$K$4</f>
        <v>0</v>
      </c>
      <c r="D706" s="3">
        <f>(E705/$K$1)*$K$2*1</f>
        <v>2.6676495160271932E-4</v>
      </c>
      <c r="E706" s="3">
        <f t="shared" si="20"/>
        <v>3.2840817580384006E-2</v>
      </c>
      <c r="F706" s="3">
        <f>E706/$K$1</f>
        <v>4.0710075096546429E-3</v>
      </c>
      <c r="G706" s="5">
        <f t="shared" si="21"/>
        <v>101325.0117995442</v>
      </c>
    </row>
    <row r="707" spans="1:7" x14ac:dyDescent="0.25">
      <c r="A707">
        <v>3105</v>
      </c>
      <c r="B707" s="3">
        <v>0</v>
      </c>
      <c r="C707" s="3">
        <f>B707*$K$4</f>
        <v>0</v>
      </c>
      <c r="D707" s="3">
        <f>(E706/$K$1)*$K$2*1</f>
        <v>2.6461548812755178E-4</v>
      </c>
      <c r="E707" s="3">
        <f t="shared" si="20"/>
        <v>3.2576202092256451E-2</v>
      </c>
      <c r="F707" s="3">
        <f>E707/$K$1</f>
        <v>4.0382052922097993E-3</v>
      </c>
      <c r="G707" s="5">
        <f t="shared" si="21"/>
        <v>101325.01153161058</v>
      </c>
    </row>
    <row r="708" spans="1:7" x14ac:dyDescent="0.25">
      <c r="A708">
        <v>3106</v>
      </c>
      <c r="B708" s="3">
        <v>0</v>
      </c>
      <c r="C708" s="3">
        <f>B708*$K$4</f>
        <v>0</v>
      </c>
      <c r="D708" s="3">
        <f>(E707/$K$1)*$K$2*1</f>
        <v>2.6248334399363695E-4</v>
      </c>
      <c r="E708" s="3">
        <f t="shared" ref="E708:E771" si="22">E707+C708-D708</f>
        <v>3.2313718748262811E-2</v>
      </c>
      <c r="F708" s="3">
        <f>E708/$K$1</f>
        <v>4.0056673792317849E-3</v>
      </c>
      <c r="G708" s="5">
        <f t="shared" ref="G708:G771" si="23">G707+C708-$K$5*$K$9*SQRT(MAX(0,2*$K$6*(G707-$K$11)))</f>
        <v>101325.01126673643</v>
      </c>
    </row>
    <row r="709" spans="1:7" x14ac:dyDescent="0.25">
      <c r="A709">
        <v>3107</v>
      </c>
      <c r="B709" s="3">
        <v>0</v>
      </c>
      <c r="C709" s="3">
        <f>B709*$K$4</f>
        <v>0</v>
      </c>
      <c r="D709" s="3">
        <f>(E708/$K$1)*$K$2*1</f>
        <v>2.6036837965006602E-4</v>
      </c>
      <c r="E709" s="3">
        <f t="shared" si="22"/>
        <v>3.2053350368612746E-2</v>
      </c>
      <c r="F709" s="3">
        <f>E709/$K$1</f>
        <v>3.9733916410825271E-3</v>
      </c>
      <c r="G709" s="5">
        <f t="shared" si="23"/>
        <v>101325.01100492195</v>
      </c>
    </row>
    <row r="710" spans="1:7" x14ac:dyDescent="0.25">
      <c r="A710">
        <v>3108</v>
      </c>
      <c r="B710" s="3">
        <v>0</v>
      </c>
      <c r="C710" s="3">
        <f>B710*$K$4</f>
        <v>0</v>
      </c>
      <c r="D710" s="3">
        <f>(E709/$K$1)*$K$2*1</f>
        <v>2.5827045667036429E-4</v>
      </c>
      <c r="E710" s="3">
        <f t="shared" si="22"/>
        <v>3.179507991194238E-2</v>
      </c>
      <c r="F710" s="3">
        <f>E710/$K$1</f>
        <v>3.941375965283548E-3</v>
      </c>
      <c r="G710" s="5">
        <f t="shared" si="23"/>
        <v>101325.01074616735</v>
      </c>
    </row>
    <row r="711" spans="1:7" x14ac:dyDescent="0.25">
      <c r="A711">
        <v>3109</v>
      </c>
      <c r="B711" s="3">
        <v>0</v>
      </c>
      <c r="C711" s="3">
        <f>B711*$K$4</f>
        <v>0</v>
      </c>
      <c r="D711" s="3">
        <f>(E710/$K$1)*$K$2*1</f>
        <v>2.5618943774343062E-4</v>
      </c>
      <c r="E711" s="3">
        <f t="shared" si="22"/>
        <v>3.1538890474198951E-2</v>
      </c>
      <c r="F711" s="3">
        <f>E711/$K$1</f>
        <v>3.9096182563777056E-3</v>
      </c>
      <c r="G711" s="5">
        <f t="shared" si="23"/>
        <v>101325.01049047284</v>
      </c>
    </row>
    <row r="712" spans="1:7" x14ac:dyDescent="0.25">
      <c r="A712">
        <v>3110</v>
      </c>
      <c r="B712" s="3">
        <v>0</v>
      </c>
      <c r="C712" s="3">
        <f>B712*$K$4</f>
        <v>0</v>
      </c>
      <c r="D712" s="3">
        <f>(E711/$K$1)*$K$2*1</f>
        <v>2.5412518666455085E-4</v>
      </c>
      <c r="E712" s="3">
        <f t="shared" si="22"/>
        <v>3.1284765287534398E-2</v>
      </c>
      <c r="F712" s="3">
        <f>E712/$K$1</f>
        <v>3.8781164357920414E-3</v>
      </c>
      <c r="G712" s="5">
        <f t="shared" si="23"/>
        <v>101325.01023783864</v>
      </c>
    </row>
    <row r="713" spans="1:7" x14ac:dyDescent="0.25">
      <c r="A713">
        <v>3111</v>
      </c>
      <c r="B713" s="3">
        <v>0</v>
      </c>
      <c r="C713" s="3">
        <f>B713*$K$4</f>
        <v>0</v>
      </c>
      <c r="D713" s="3">
        <f>(E712/$K$1)*$K$2*1</f>
        <v>2.5207756832648268E-4</v>
      </c>
      <c r="E713" s="3">
        <f t="shared" si="22"/>
        <v>3.1032687719207915E-2</v>
      </c>
      <c r="F713" s="3">
        <f>E713/$K$1</f>
        <v>3.8468684417017371E-3</v>
      </c>
      <c r="G713" s="5">
        <f t="shared" si="23"/>
        <v>101325.00998826498</v>
      </c>
    </row>
    <row r="714" spans="1:7" x14ac:dyDescent="0.25">
      <c r="A714">
        <v>3112</v>
      </c>
      <c r="B714" s="3">
        <v>0</v>
      </c>
      <c r="C714" s="3">
        <f>B714*$K$4</f>
        <v>0</v>
      </c>
      <c r="D714" s="3">
        <f>(E713/$K$1)*$K$2*1</f>
        <v>2.5004644871061291E-4</v>
      </c>
      <c r="E714" s="3">
        <f t="shared" si="22"/>
        <v>3.0782641270497301E-2</v>
      </c>
      <c r="F714" s="3">
        <f>E714/$K$1</f>
        <v>3.8158722288951655E-3</v>
      </c>
      <c r="G714" s="5">
        <f t="shared" si="23"/>
        <v>101325.00974175209</v>
      </c>
    </row>
    <row r="715" spans="1:7" x14ac:dyDescent="0.25">
      <c r="A715">
        <v>3113</v>
      </c>
      <c r="B715" s="3">
        <v>0</v>
      </c>
      <c r="C715" s="3">
        <f>B715*$K$4</f>
        <v>0</v>
      </c>
      <c r="D715" s="3">
        <f>(E714/$K$1)*$K$2*1</f>
        <v>2.4803169487818576E-4</v>
      </c>
      <c r="E715" s="3">
        <f t="shared" si="22"/>
        <v>3.0534609575619116E-2</v>
      </c>
      <c r="F715" s="3">
        <f>E715/$K$1</f>
        <v>3.7851257686400291E-3</v>
      </c>
      <c r="G715" s="5">
        <f t="shared" si="23"/>
        <v>101325.00949830021</v>
      </c>
    </row>
    <row r="716" spans="1:7" x14ac:dyDescent="0.25">
      <c r="A716">
        <v>3114</v>
      </c>
      <c r="B716" s="3">
        <v>0</v>
      </c>
      <c r="C716" s="3">
        <f>B716*$K$4</f>
        <v>0</v>
      </c>
      <c r="D716" s="3">
        <f>(E715/$K$1)*$K$2*1</f>
        <v>2.460331749616019E-4</v>
      </c>
      <c r="E716" s="3">
        <f t="shared" si="22"/>
        <v>3.0288576400657515E-2</v>
      </c>
      <c r="F716" s="3">
        <f>E716/$K$1</f>
        <v>3.754627048550578E-3</v>
      </c>
      <c r="G716" s="5">
        <f t="shared" si="23"/>
        <v>101325.00925790957</v>
      </c>
    </row>
    <row r="717" spans="1:7" x14ac:dyDescent="0.25">
      <c r="A717">
        <v>3115</v>
      </c>
      <c r="B717" s="3">
        <v>0</v>
      </c>
      <c r="C717" s="3">
        <f>B717*$K$4</f>
        <v>0</v>
      </c>
      <c r="D717" s="3">
        <f>(E716/$K$1)*$K$2*1</f>
        <v>2.4405075815578758E-4</v>
      </c>
      <c r="E717" s="3">
        <f t="shared" si="22"/>
        <v>3.0044525642501728E-2</v>
      </c>
      <c r="F717" s="3">
        <f>E717/$K$1</f>
        <v>3.724374072455898E-3</v>
      </c>
      <c r="G717" s="5">
        <f t="shared" si="23"/>
        <v>101325.00902058043</v>
      </c>
    </row>
    <row r="718" spans="1:7" x14ac:dyDescent="0.25">
      <c r="A718">
        <v>3116</v>
      </c>
      <c r="B718" s="3">
        <v>0</v>
      </c>
      <c r="C718" s="3">
        <f>B718*$K$4</f>
        <v>0</v>
      </c>
      <c r="D718" s="3">
        <f>(E717/$K$1)*$K$2*1</f>
        <v>2.4208431470963338E-4</v>
      </c>
      <c r="E718" s="3">
        <f t="shared" si="22"/>
        <v>2.9802441327792095E-2</v>
      </c>
      <c r="F718" s="3">
        <f>E718/$K$1</f>
        <v>3.6943648602692568E-3</v>
      </c>
      <c r="G718" s="5">
        <f t="shared" si="23"/>
        <v>101325.00878631303</v>
      </c>
    </row>
    <row r="719" spans="1:7" x14ac:dyDescent="0.25">
      <c r="A719">
        <v>3117</v>
      </c>
      <c r="B719" s="3">
        <v>0</v>
      </c>
      <c r="C719" s="3">
        <f>B719*$K$4</f>
        <v>0</v>
      </c>
      <c r="D719" s="3">
        <f>(E718/$K$1)*$K$2*1</f>
        <v>2.401337159175017E-4</v>
      </c>
      <c r="E719" s="3">
        <f t="shared" si="22"/>
        <v>2.9562307611874592E-2</v>
      </c>
      <c r="F719" s="3">
        <f>E719/$K$1</f>
        <v>3.6645974478585089E-3</v>
      </c>
      <c r="G719" s="5">
        <f t="shared" si="23"/>
        <v>101325.00855510765</v>
      </c>
    </row>
    <row r="720" spans="1:7" x14ac:dyDescent="0.25">
      <c r="A720">
        <v>3118</v>
      </c>
      <c r="B720" s="3">
        <v>0</v>
      </c>
      <c r="C720" s="3">
        <f>B720*$K$4</f>
        <v>0</v>
      </c>
      <c r="D720" s="3">
        <f>(E719/$K$1)*$K$2*1</f>
        <v>2.3819883411080309E-4</v>
      </c>
      <c r="E720" s="3">
        <f t="shared" si="22"/>
        <v>2.9324108777763789E-2</v>
      </c>
      <c r="F720" s="3">
        <f>E720/$K$1</f>
        <v>3.6350698869175393E-3</v>
      </c>
      <c r="G720" s="5">
        <f t="shared" si="23"/>
        <v>101325.00832696454</v>
      </c>
    </row>
    <row r="721" spans="1:7" x14ac:dyDescent="0.25">
      <c r="A721">
        <v>3119</v>
      </c>
      <c r="B721" s="3">
        <v>0</v>
      </c>
      <c r="C721" s="3">
        <f>B721*$K$4</f>
        <v>0</v>
      </c>
      <c r="D721" s="3">
        <f>(E720/$K$1)*$K$2*1</f>
        <v>2.3627954264964006E-4</v>
      </c>
      <c r="E721" s="3">
        <f t="shared" si="22"/>
        <v>2.9087829235114149E-2</v>
      </c>
      <c r="F721" s="3">
        <f>E721/$K$1</f>
        <v>3.6057802448387442E-3</v>
      </c>
      <c r="G721" s="5">
        <f t="shared" si="23"/>
        <v>101325.008101884</v>
      </c>
    </row>
    <row r="722" spans="1:7" x14ac:dyDescent="0.25">
      <c r="A722">
        <v>3120</v>
      </c>
      <c r="B722" s="3">
        <v>0</v>
      </c>
      <c r="C722" s="3">
        <f>B722*$K$4</f>
        <v>0</v>
      </c>
      <c r="D722" s="3">
        <f>(E721/$K$1)*$K$2*1</f>
        <v>2.3437571591451839E-4</v>
      </c>
      <c r="E722" s="3">
        <f t="shared" si="22"/>
        <v>2.8853453519199632E-2</v>
      </c>
      <c r="F722" s="3">
        <f>E722/$K$1</f>
        <v>3.5767266045865415E-3</v>
      </c>
      <c r="G722" s="5">
        <f t="shared" si="23"/>
        <v>101325.00787986629</v>
      </c>
    </row>
    <row r="723" spans="1:7" x14ac:dyDescent="0.25">
      <c r="A723">
        <v>3121</v>
      </c>
      <c r="B723" s="3">
        <v>0</v>
      </c>
      <c r="C723" s="3">
        <f>B723*$K$4</f>
        <v>0</v>
      </c>
      <c r="D723" s="3">
        <f>(E722/$K$1)*$K$2*1</f>
        <v>2.3248722929812522E-4</v>
      </c>
      <c r="E723" s="3">
        <f t="shared" si="22"/>
        <v>2.8620966289901507E-2</v>
      </c>
      <c r="F723" s="3">
        <f>E723/$K$1</f>
        <v>3.5479070645718985E-3</v>
      </c>
      <c r="G723" s="5">
        <f t="shared" si="23"/>
        <v>101325.00766091171</v>
      </c>
    </row>
    <row r="724" spans="1:7" x14ac:dyDescent="0.25">
      <c r="A724">
        <v>3122</v>
      </c>
      <c r="B724" s="3">
        <v>0</v>
      </c>
      <c r="C724" s="3">
        <f>B724*$K$4</f>
        <v>0</v>
      </c>
      <c r="D724" s="3">
        <f>(E723/$K$1)*$K$2*1</f>
        <v>2.3061395919717341E-4</v>
      </c>
      <c r="E724" s="3">
        <f t="shared" si="22"/>
        <v>2.8390352330704333E-2</v>
      </c>
      <c r="F724" s="3">
        <f>E724/$K$1</f>
        <v>3.5193197385278707E-3</v>
      </c>
      <c r="G724" s="5">
        <f t="shared" si="23"/>
        <v>101325.00744502056</v>
      </c>
    </row>
    <row r="725" spans="1:7" x14ac:dyDescent="0.25">
      <c r="A725">
        <v>3123</v>
      </c>
      <c r="B725" s="3">
        <v>0</v>
      </c>
      <c r="C725" s="3">
        <f>B725*$K$4</f>
        <v>0</v>
      </c>
      <c r="D725" s="3">
        <f>(E724/$K$1)*$K$2*1</f>
        <v>2.2875578300431162E-4</v>
      </c>
      <c r="E725" s="3">
        <f t="shared" si="22"/>
        <v>2.8161596547700021E-2</v>
      </c>
      <c r="F725" s="3">
        <f>E725/$K$1</f>
        <v>3.4909627553861436E-3</v>
      </c>
      <c r="G725" s="5">
        <f t="shared" si="23"/>
        <v>101325.00723219315</v>
      </c>
    </row>
    <row r="726" spans="1:7" x14ac:dyDescent="0.25">
      <c r="A726">
        <v>3124</v>
      </c>
      <c r="B726" s="3">
        <v>0</v>
      </c>
      <c r="C726" s="3">
        <f>B726*$K$4</f>
        <v>0</v>
      </c>
      <c r="D726" s="3">
        <f>(E725/$K$1)*$K$2*1</f>
        <v>2.2691257910009935E-4</v>
      </c>
      <c r="E726" s="3">
        <f t="shared" si="22"/>
        <v>2.7934683968599921E-2</v>
      </c>
      <c r="F726" s="3">
        <f>E726/$K$1</f>
        <v>3.4628342591545703E-3</v>
      </c>
      <c r="G726" s="5">
        <f t="shared" si="23"/>
        <v>101325.0070224298</v>
      </c>
    </row>
    <row r="727" spans="1:7" x14ac:dyDescent="0.25">
      <c r="A727">
        <v>3125</v>
      </c>
      <c r="B727" s="3">
        <v>0</v>
      </c>
      <c r="C727" s="3">
        <f>B727*$K$4</f>
        <v>0</v>
      </c>
      <c r="D727" s="3">
        <f>(E726/$K$1)*$K$2*1</f>
        <v>2.2508422684504708E-4</v>
      </c>
      <c r="E727" s="3">
        <f t="shared" si="22"/>
        <v>2.7709599741754874E-2</v>
      </c>
      <c r="F727" s="3">
        <f>E727/$K$1</f>
        <v>3.4349324087956951E-3</v>
      </c>
      <c r="G727" s="5">
        <f t="shared" si="23"/>
        <v>101325.00681573083</v>
      </c>
    </row>
    <row r="728" spans="1:7" x14ac:dyDescent="0.25">
      <c r="A728">
        <v>3126</v>
      </c>
      <c r="B728" s="3">
        <v>0</v>
      </c>
      <c r="C728" s="3">
        <f>B728*$K$4</f>
        <v>0</v>
      </c>
      <c r="D728" s="3">
        <f>(E727/$K$1)*$K$2*1</f>
        <v>2.232706065717202E-4</v>
      </c>
      <c r="E728" s="3">
        <f t="shared" si="22"/>
        <v>2.7486329135183153E-2</v>
      </c>
      <c r="F728" s="3">
        <f>E728/$K$1</f>
        <v>3.4072553781062543E-3</v>
      </c>
      <c r="G728" s="5">
        <f t="shared" si="23"/>
        <v>101325.00661209658</v>
      </c>
    </row>
    <row r="729" spans="1:7" x14ac:dyDescent="0.25">
      <c r="A729">
        <v>3127</v>
      </c>
      <c r="B729" s="3">
        <v>0</v>
      </c>
      <c r="C729" s="3">
        <f>B729*$K$4</f>
        <v>0</v>
      </c>
      <c r="D729" s="3">
        <f>(E728/$K$1)*$K$2*1</f>
        <v>2.2147159957690654E-4</v>
      </c>
      <c r="E729" s="3">
        <f t="shared" si="22"/>
        <v>2.7264857535606247E-2</v>
      </c>
      <c r="F729" s="3">
        <f>E729/$K$1</f>
        <v>3.3798013555976503E-3</v>
      </c>
      <c r="G729" s="5">
        <f t="shared" si="23"/>
        <v>101325.0064115274</v>
      </c>
    </row>
    <row r="730" spans="1:7" x14ac:dyDescent="0.25">
      <c r="A730">
        <v>3128</v>
      </c>
      <c r="B730" s="3">
        <v>0</v>
      </c>
      <c r="C730" s="3">
        <f>B730*$K$4</f>
        <v>0</v>
      </c>
      <c r="D730" s="3">
        <f>(E729/$K$1)*$K$2*1</f>
        <v>2.1968708811384729E-4</v>
      </c>
      <c r="E730" s="3">
        <f t="shared" si="22"/>
        <v>2.7045170447492401E-2</v>
      </c>
      <c r="F730" s="3">
        <f>E730/$K$1</f>
        <v>3.3525685443773893E-3</v>
      </c>
      <c r="G730" s="5">
        <f t="shared" si="23"/>
        <v>101325.00621402364</v>
      </c>
    </row>
    <row r="731" spans="1:7" x14ac:dyDescent="0.25">
      <c r="A731">
        <v>3129</v>
      </c>
      <c r="B731" s="3">
        <v>0</v>
      </c>
      <c r="C731" s="3">
        <f>B731*$K$4</f>
        <v>0</v>
      </c>
      <c r="D731" s="3">
        <f>(E730/$K$1)*$K$2*1</f>
        <v>2.1791695538453032E-4</v>
      </c>
      <c r="E731" s="3">
        <f t="shared" si="22"/>
        <v>2.6827253492107871E-2</v>
      </c>
      <c r="F731" s="3">
        <f>E731/$K$1</f>
        <v>3.3255551620314703E-3</v>
      </c>
      <c r="G731" s="5">
        <f t="shared" si="23"/>
        <v>101325.00601958568</v>
      </c>
    </row>
    <row r="732" spans="1:7" x14ac:dyDescent="0.25">
      <c r="A732">
        <v>3130</v>
      </c>
      <c r="B732" s="3">
        <v>0</v>
      </c>
      <c r="C732" s="3">
        <f>B732*$K$4</f>
        <v>0</v>
      </c>
      <c r="D732" s="3">
        <f>(E731/$K$1)*$K$2*1</f>
        <v>2.1616108553204556E-4</v>
      </c>
      <c r="E732" s="3">
        <f t="shared" si="22"/>
        <v>2.6611092406575824E-2</v>
      </c>
      <c r="F732" s="3">
        <f>E732/$K$1</f>
        <v>3.2987594405077258E-3</v>
      </c>
      <c r="G732" s="5">
        <f t="shared" si="23"/>
        <v>101325.00582821389</v>
      </c>
    </row>
    <row r="733" spans="1:7" x14ac:dyDescent="0.25">
      <c r="A733">
        <v>3131</v>
      </c>
      <c r="B733" s="3">
        <v>0</v>
      </c>
      <c r="C733" s="3">
        <f>B733*$K$4</f>
        <v>0</v>
      </c>
      <c r="D733" s="3">
        <f>(E732/$K$1)*$K$2*1</f>
        <v>2.1441936363300219E-4</v>
      </c>
      <c r="E733" s="3">
        <f t="shared" si="22"/>
        <v>2.6396673042942822E-2</v>
      </c>
      <c r="F733" s="3">
        <f>E733/$K$1</f>
        <v>3.2721796260001016E-3</v>
      </c>
      <c r="G733" s="5">
        <f t="shared" si="23"/>
        <v>101325.00563990868</v>
      </c>
    </row>
    <row r="734" spans="1:7" x14ac:dyDescent="0.25">
      <c r="A734">
        <v>3132</v>
      </c>
      <c r="B734" s="3">
        <v>0</v>
      </c>
      <c r="C734" s="3">
        <f>B734*$K$4</f>
        <v>0</v>
      </c>
      <c r="D734" s="3">
        <f>(E733/$K$1)*$K$2*1</f>
        <v>2.1269167569000662E-4</v>
      </c>
      <c r="E734" s="3">
        <f t="shared" si="22"/>
        <v>2.6183981367252817E-2</v>
      </c>
      <c r="F734" s="3">
        <f>E734/$K$1</f>
        <v>3.2458139788338683E-3</v>
      </c>
      <c r="G734" s="5">
        <f t="shared" si="23"/>
        <v>101325.00545467043</v>
      </c>
    </row>
    <row r="735" spans="1:7" x14ac:dyDescent="0.25">
      <c r="A735">
        <v>3133</v>
      </c>
      <c r="B735" s="3">
        <v>0</v>
      </c>
      <c r="C735" s="3">
        <f>B735*$K$4</f>
        <v>0</v>
      </c>
      <c r="D735" s="3">
        <f>(E734/$K$1)*$K$2*1</f>
        <v>2.1097790862420146E-4</v>
      </c>
      <c r="E735" s="3">
        <f t="shared" si="22"/>
        <v>2.5973003458628616E-2</v>
      </c>
      <c r="F735" s="3">
        <f>E735/$K$1</f>
        <v>3.219660773351756E-3</v>
      </c>
      <c r="G735" s="5">
        <f t="shared" si="23"/>
        <v>101325.00527249959</v>
      </c>
    </row>
    <row r="736" spans="1:7" x14ac:dyDescent="0.25">
      <c r="A736">
        <v>3134</v>
      </c>
      <c r="B736" s="3">
        <v>0</v>
      </c>
      <c r="C736" s="3">
        <f>B736*$K$4</f>
        <v>0</v>
      </c>
      <c r="D736" s="3">
        <f>(E735/$K$1)*$K$2*1</f>
        <v>2.0927795026786413E-4</v>
      </c>
      <c r="E736" s="3">
        <f t="shared" si="22"/>
        <v>2.5763725508360751E-2</v>
      </c>
      <c r="F736" s="3">
        <f>E736/$K$1</f>
        <v>3.1937182978010103E-3</v>
      </c>
      <c r="G736" s="5">
        <f t="shared" si="23"/>
        <v>101325.00509339658</v>
      </c>
    </row>
    <row r="737" spans="1:7" x14ac:dyDescent="0.25">
      <c r="A737">
        <v>3135</v>
      </c>
      <c r="B737" s="3">
        <v>0</v>
      </c>
      <c r="C737" s="3">
        <f>B737*$K$4</f>
        <v>0</v>
      </c>
      <c r="D737" s="3">
        <f>(E736/$K$1)*$K$2*1</f>
        <v>2.0759168935706568E-4</v>
      </c>
      <c r="E737" s="3">
        <f t="shared" si="22"/>
        <v>2.5556133819003686E-2</v>
      </c>
      <c r="F737" s="3">
        <f>E737/$K$1</f>
        <v>3.1679848542213568E-3</v>
      </c>
      <c r="G737" s="5">
        <f t="shared" si="23"/>
        <v>101325.00491736186</v>
      </c>
    </row>
    <row r="738" spans="1:7" x14ac:dyDescent="0.25">
      <c r="A738">
        <v>3136</v>
      </c>
      <c r="B738" s="3">
        <v>0</v>
      </c>
      <c r="C738" s="3">
        <f>B738*$K$4</f>
        <v>0</v>
      </c>
      <c r="D738" s="3">
        <f>(E737/$K$1)*$K$2*1</f>
        <v>2.0591901552438819E-4</v>
      </c>
      <c r="E738" s="3">
        <f t="shared" si="22"/>
        <v>2.5350214803479296E-2</v>
      </c>
      <c r="F738" s="3">
        <f>E738/$K$1</f>
        <v>3.1424587583338656E-3</v>
      </c>
      <c r="G738" s="5">
        <f t="shared" si="23"/>
        <v>101325.00474439588</v>
      </c>
    </row>
    <row r="739" spans="1:7" x14ac:dyDescent="0.25">
      <c r="A739">
        <v>3137</v>
      </c>
      <c r="B739" s="3">
        <v>0</v>
      </c>
      <c r="C739" s="3">
        <f>B739*$K$4</f>
        <v>0</v>
      </c>
      <c r="D739" s="3">
        <f>(E738/$K$1)*$K$2*1</f>
        <v>2.0425981929170128E-4</v>
      </c>
      <c r="E739" s="3">
        <f t="shared" si="22"/>
        <v>2.5145954984187594E-2</v>
      </c>
      <c r="F739" s="3">
        <f>E739/$K$1</f>
        <v>3.1171383394307168E-3</v>
      </c>
      <c r="G739" s="5">
        <f t="shared" si="23"/>
        <v>101325.00457449912</v>
      </c>
    </row>
    <row r="740" spans="1:7" x14ac:dyDescent="0.25">
      <c r="A740">
        <v>3138</v>
      </c>
      <c r="B740" s="3">
        <v>0</v>
      </c>
      <c r="C740" s="3">
        <f>B740*$K$4</f>
        <v>0</v>
      </c>
      <c r="D740" s="3">
        <f>(E739/$K$1)*$K$2*1</f>
        <v>2.0261399206299659E-4</v>
      </c>
      <c r="E740" s="3">
        <f t="shared" si="22"/>
        <v>2.4943340992124599E-2</v>
      </c>
      <c r="F740" s="3">
        <f>E740/$K$1</f>
        <v>3.0920219402658482E-3</v>
      </c>
      <c r="G740" s="5">
        <f t="shared" si="23"/>
        <v>101325.00440767211</v>
      </c>
    </row>
    <row r="741" spans="1:7" x14ac:dyDescent="0.25">
      <c r="A741">
        <v>3139</v>
      </c>
      <c r="B741" s="3">
        <v>0</v>
      </c>
      <c r="C741" s="3">
        <f>B741*$K$4</f>
        <v>0</v>
      </c>
      <c r="D741" s="3">
        <f>(E740/$K$1)*$K$2*1</f>
        <v>2.0098142611728014E-4</v>
      </c>
      <c r="E741" s="3">
        <f t="shared" si="22"/>
        <v>2.4742359566007319E-2</v>
      </c>
      <c r="F741" s="3">
        <f>E741/$K$1</f>
        <v>3.0671079169464878E-3</v>
      </c>
      <c r="G741" s="5">
        <f t="shared" si="23"/>
        <v>101325.00424391535</v>
      </c>
    </row>
    <row r="742" spans="1:7" x14ac:dyDescent="0.25">
      <c r="A742">
        <v>3140</v>
      </c>
      <c r="B742" s="3">
        <v>0</v>
      </c>
      <c r="C742" s="3">
        <f>B742*$K$4</f>
        <v>0</v>
      </c>
      <c r="D742" s="3">
        <f>(E741/$K$1)*$K$2*1</f>
        <v>1.9936201460152173E-4</v>
      </c>
      <c r="E742" s="3">
        <f t="shared" si="22"/>
        <v>2.4542997551405796E-2</v>
      </c>
      <c r="F742" s="3">
        <f>E742/$K$1</f>
        <v>3.0423946388255605E-3</v>
      </c>
      <c r="G742" s="5">
        <f t="shared" si="23"/>
        <v>101325.00408322937</v>
      </c>
    </row>
    <row r="743" spans="1:7" x14ac:dyDescent="0.25">
      <c r="A743">
        <v>3141</v>
      </c>
      <c r="B743" s="3">
        <v>0</v>
      </c>
      <c r="C743" s="3">
        <f>B743*$K$4</f>
        <v>0</v>
      </c>
      <c r="D743" s="3">
        <f>(E742/$K$1)*$K$2*1</f>
        <v>1.9775565152366144E-4</v>
      </c>
      <c r="E743" s="3">
        <f t="shared" si="22"/>
        <v>2.4345241899882134E-2</v>
      </c>
      <c r="F743" s="3">
        <f>E743/$K$1</f>
        <v>3.0178804883949587E-3</v>
      </c>
      <c r="G743" s="5">
        <f t="shared" si="23"/>
        <v>101325.00392561476</v>
      </c>
    </row>
    <row r="744" spans="1:7" x14ac:dyDescent="0.25">
      <c r="A744">
        <v>3142</v>
      </c>
      <c r="B744" s="3">
        <v>0</v>
      </c>
      <c r="C744" s="3">
        <f>B744*$K$4</f>
        <v>0</v>
      </c>
      <c r="D744" s="3">
        <f>(E743/$K$1)*$K$2*1</f>
        <v>1.9616223174567232E-4</v>
      </c>
      <c r="E744" s="3">
        <f t="shared" si="22"/>
        <v>2.4149079668136463E-2</v>
      </c>
      <c r="F744" s="3">
        <f>E744/$K$1</f>
        <v>2.9935638611796782E-3</v>
      </c>
      <c r="G744" s="5">
        <f t="shared" si="23"/>
        <v>101325.00377107208</v>
      </c>
    </row>
    <row r="745" spans="1:7" x14ac:dyDescent="0.25">
      <c r="A745">
        <v>3143</v>
      </c>
      <c r="B745" s="3">
        <v>0</v>
      </c>
      <c r="C745" s="3">
        <f>B745*$K$4</f>
        <v>0</v>
      </c>
      <c r="D745" s="3">
        <f>(E744/$K$1)*$K$2*1</f>
        <v>1.945816509766791E-4</v>
      </c>
      <c r="E745" s="3">
        <f t="shared" si="22"/>
        <v>2.3954498017159785E-2</v>
      </c>
      <c r="F745" s="3">
        <f>E745/$K$1</f>
        <v>2.9694431656327983E-3</v>
      </c>
      <c r="G745" s="5">
        <f t="shared" si="23"/>
        <v>101325.00361960194</v>
      </c>
    </row>
    <row r="746" spans="1:7" x14ac:dyDescent="0.25">
      <c r="A746">
        <v>3144</v>
      </c>
      <c r="B746" s="3">
        <v>0</v>
      </c>
      <c r="C746" s="3">
        <f>B746*$K$4</f>
        <v>0</v>
      </c>
      <c r="D746" s="3">
        <f>(E745/$K$1)*$K$2*1</f>
        <v>1.9301380576613189E-4</v>
      </c>
      <c r="E746" s="3">
        <f t="shared" si="22"/>
        <v>2.3761484211393652E-2</v>
      </c>
      <c r="F746" s="3">
        <f>E746/$K$1</f>
        <v>2.9455168230313193E-3</v>
      </c>
      <c r="G746" s="5">
        <f t="shared" si="23"/>
        <v>101325.00347120497</v>
      </c>
    </row>
    <row r="747" spans="1:7" x14ac:dyDescent="0.25">
      <c r="A747">
        <v>3145</v>
      </c>
      <c r="B747" s="3">
        <v>0</v>
      </c>
      <c r="C747" s="3">
        <f>B747*$K$4</f>
        <v>0</v>
      </c>
      <c r="D747" s="3">
        <f>(E746/$K$1)*$K$2*1</f>
        <v>1.9145859349703576E-4</v>
      </c>
      <c r="E747" s="3">
        <f t="shared" si="22"/>
        <v>2.3570025617896617E-2</v>
      </c>
      <c r="F747" s="3">
        <f>E747/$K$1</f>
        <v>2.9217832673728295E-3</v>
      </c>
      <c r="G747" s="5">
        <f t="shared" si="23"/>
        <v>101325.00332588184</v>
      </c>
    </row>
    <row r="748" spans="1:7" x14ac:dyDescent="0.25">
      <c r="A748">
        <v>3146</v>
      </c>
      <c r="B748" s="3">
        <v>0</v>
      </c>
      <c r="C748" s="3">
        <f>B748*$K$4</f>
        <v>0</v>
      </c>
      <c r="D748" s="3">
        <f>(E747/$K$1)*$K$2*1</f>
        <v>1.8991591237923393E-4</v>
      </c>
      <c r="E748" s="3">
        <f t="shared" si="22"/>
        <v>2.3380109705517384E-2</v>
      </c>
      <c r="F748" s="3">
        <f>E748/$K$1</f>
        <v>2.8982409452730116E-3</v>
      </c>
      <c r="G748" s="5">
        <f t="shared" si="23"/>
        <v>101325.00318363323</v>
      </c>
    </row>
    <row r="749" spans="1:7" x14ac:dyDescent="0.25">
      <c r="A749">
        <v>3147</v>
      </c>
      <c r="B749" s="3">
        <v>0</v>
      </c>
      <c r="C749" s="3">
        <f>B749*$K$4</f>
        <v>0</v>
      </c>
      <c r="D749" s="3">
        <f>(E748/$K$1)*$K$2*1</f>
        <v>1.8838566144274577E-4</v>
      </c>
      <c r="E749" s="3">
        <f t="shared" si="22"/>
        <v>2.3191724044074637E-2</v>
      </c>
      <c r="F749" s="3">
        <f>E749/$K$1</f>
        <v>2.8748883158639686E-3</v>
      </c>
      <c r="G749" s="5">
        <f t="shared" si="23"/>
        <v>101325.00304445987</v>
      </c>
    </row>
    <row r="750" spans="1:7" x14ac:dyDescent="0.25">
      <c r="A750">
        <v>3148</v>
      </c>
      <c r="B750" s="3">
        <v>0</v>
      </c>
      <c r="C750" s="3">
        <f>B750*$K$4</f>
        <v>0</v>
      </c>
      <c r="D750" s="3">
        <f>(E749/$K$1)*$K$2*1</f>
        <v>1.8686774053115797E-4</v>
      </c>
      <c r="E750" s="3">
        <f t="shared" si="22"/>
        <v>2.3004856303543479E-2</v>
      </c>
      <c r="F750" s="3">
        <f>E750/$K$1</f>
        <v>2.8517238506933777E-3</v>
      </c>
      <c r="G750" s="5">
        <f t="shared" si="23"/>
        <v>101325.0029083625</v>
      </c>
    </row>
    <row r="751" spans="1:7" x14ac:dyDescent="0.25">
      <c r="A751">
        <v>3149</v>
      </c>
      <c r="B751" s="3">
        <v>0</v>
      </c>
      <c r="C751" s="3">
        <f>B751*$K$4</f>
        <v>0</v>
      </c>
      <c r="D751" s="3">
        <f>(E750/$K$1)*$K$2*1</f>
        <v>1.8536205029506955E-4</v>
      </c>
      <c r="E751" s="3">
        <f t="shared" si="22"/>
        <v>2.2819494253248411E-2</v>
      </c>
      <c r="F751" s="3">
        <f>E751/$K$1</f>
        <v>2.8287460336244466E-3</v>
      </c>
      <c r="G751" s="5">
        <f t="shared" si="23"/>
        <v>101325.00277534191</v>
      </c>
    </row>
    <row r="752" spans="1:7" x14ac:dyDescent="0.25">
      <c r="A752">
        <v>3150</v>
      </c>
      <c r="B752" s="3">
        <v>0</v>
      </c>
      <c r="C752" s="3">
        <f>B752*$K$4</f>
        <v>0</v>
      </c>
      <c r="D752" s="3">
        <f>(E751/$K$1)*$K$2*1</f>
        <v>1.8386849218558903E-4</v>
      </c>
      <c r="E752" s="3">
        <f t="shared" si="22"/>
        <v>2.2635625761062823E-2</v>
      </c>
      <c r="F752" s="3">
        <f>E752/$K$1</f>
        <v>2.8059533607366831E-3</v>
      </c>
      <c r="G752" s="5">
        <f t="shared" si="23"/>
        <v>101325.00264539893</v>
      </c>
    </row>
    <row r="753" spans="1:7" x14ac:dyDescent="0.25">
      <c r="A753">
        <v>3151</v>
      </c>
      <c r="B753" s="3">
        <v>0</v>
      </c>
      <c r="C753" s="3">
        <f>B753*$K$4</f>
        <v>0</v>
      </c>
      <c r="D753" s="3">
        <f>(E752/$K$1)*$K$2*1</f>
        <v>1.823869684478844E-4</v>
      </c>
      <c r="E753" s="3">
        <f t="shared" si="22"/>
        <v>2.2453238792614939E-2</v>
      </c>
      <c r="F753" s="3">
        <f>E753/$K$1</f>
        <v>2.7833443402274622E-3</v>
      </c>
      <c r="G753" s="5">
        <f t="shared" si="23"/>
        <v>101325.0025185344</v>
      </c>
    </row>
    <row r="754" spans="1:7" x14ac:dyDescent="0.25">
      <c r="A754">
        <v>3152</v>
      </c>
      <c r="B754" s="3">
        <v>0</v>
      </c>
      <c r="C754" s="3">
        <f>B754*$K$4</f>
        <v>0</v>
      </c>
      <c r="D754" s="3">
        <f>(E753/$K$1)*$K$2*1</f>
        <v>1.8091738211478505E-4</v>
      </c>
      <c r="E754" s="3">
        <f t="shared" si="22"/>
        <v>2.2272321410500156E-2</v>
      </c>
      <c r="F754" s="3">
        <f>E754/$K$1</f>
        <v>2.7609174923143866E-3</v>
      </c>
      <c r="G754" s="5">
        <f t="shared" si="23"/>
        <v>101325.00239474924</v>
      </c>
    </row>
    <row r="755" spans="1:7" x14ac:dyDescent="0.25">
      <c r="A755">
        <v>3153</v>
      </c>
      <c r="B755" s="3">
        <v>0</v>
      </c>
      <c r="C755" s="3">
        <f>B755*$K$4</f>
        <v>0</v>
      </c>
      <c r="D755" s="3">
        <f>(E754/$K$1)*$K$2*1</f>
        <v>1.7945963700043512E-4</v>
      </c>
      <c r="E755" s="3">
        <f t="shared" si="22"/>
        <v>2.2092861773499721E-2</v>
      </c>
      <c r="F755" s="3">
        <f>E755/$K$1</f>
        <v>2.7386713491384307E-3</v>
      </c>
      <c r="G755" s="5">
        <f t="shared" si="23"/>
        <v>101325.00227404443</v>
      </c>
    </row>
    <row r="756" spans="1:7" x14ac:dyDescent="0.25">
      <c r="A756">
        <v>3154</v>
      </c>
      <c r="B756" s="3">
        <v>0</v>
      </c>
      <c r="C756" s="3">
        <f>B756*$K$4</f>
        <v>0</v>
      </c>
      <c r="D756" s="3">
        <f>(E755/$K$1)*$K$2*1</f>
        <v>1.7801363769399801E-4</v>
      </c>
      <c r="E756" s="3">
        <f t="shared" si="22"/>
        <v>2.1914848135805721E-2</v>
      </c>
      <c r="F756" s="3">
        <f>E756/$K$1</f>
        <v>2.7166044546678716E-3</v>
      </c>
      <c r="G756" s="5">
        <f t="shared" si="23"/>
        <v>101325.00215642093</v>
      </c>
    </row>
    <row r="757" spans="1:7" x14ac:dyDescent="0.25">
      <c r="A757">
        <v>3155</v>
      </c>
      <c r="B757" s="3">
        <v>0</v>
      </c>
      <c r="C757" s="3">
        <f>B757*$K$4</f>
        <v>0</v>
      </c>
      <c r="D757" s="3">
        <f>(E756/$K$1)*$K$2*1</f>
        <v>1.7657928955341166E-4</v>
      </c>
      <c r="E757" s="3">
        <f t="shared" si="22"/>
        <v>2.1738268846252309E-2</v>
      </c>
      <c r="F757" s="3">
        <f>E757/$K$1</f>
        <v>2.6947153646029887E-3</v>
      </c>
      <c r="G757" s="5">
        <f t="shared" si="23"/>
        <v>101325.00204187982</v>
      </c>
    </row>
    <row r="758" spans="1:7" x14ac:dyDescent="0.25">
      <c r="A758">
        <v>3156</v>
      </c>
      <c r="B758" s="3">
        <v>0</v>
      </c>
      <c r="C758" s="3">
        <f>B758*$K$4</f>
        <v>0</v>
      </c>
      <c r="D758" s="3">
        <f>(E757/$K$1)*$K$2*1</f>
        <v>1.7515649869919429E-4</v>
      </c>
      <c r="E758" s="3">
        <f t="shared" si="22"/>
        <v>2.1563112347553114E-2</v>
      </c>
      <c r="F758" s="3">
        <f>E758/$K$1</f>
        <v>2.6730026462815312E-3</v>
      </c>
      <c r="G758" s="5">
        <f t="shared" si="23"/>
        <v>101325.00193042222</v>
      </c>
    </row>
    <row r="759" spans="1:7" x14ac:dyDescent="0.25">
      <c r="A759">
        <v>3157</v>
      </c>
      <c r="B759" s="3">
        <v>0</v>
      </c>
      <c r="C759" s="3">
        <f>B759*$K$4</f>
        <v>0</v>
      </c>
      <c r="D759" s="3">
        <f>(E758/$K$1)*$K$2*1</f>
        <v>1.7374517200829953E-4</v>
      </c>
      <c r="E759" s="3">
        <f t="shared" si="22"/>
        <v>2.1389367175544814E-2</v>
      </c>
      <c r="F759" s="3">
        <f>E759/$K$1</f>
        <v>2.6514648785849527E-3</v>
      </c>
      <c r="G759" s="5">
        <f t="shared" si="23"/>
        <v>101325.00182204931</v>
      </c>
    </row>
    <row r="760" spans="1:7" x14ac:dyDescent="0.25">
      <c r="A760">
        <v>3158</v>
      </c>
      <c r="B760" s="3">
        <v>0</v>
      </c>
      <c r="C760" s="3">
        <f>B760*$K$4</f>
        <v>0</v>
      </c>
      <c r="D760" s="3">
        <f>(E759/$K$1)*$K$2*1</f>
        <v>1.7234521710802193E-4</v>
      </c>
      <c r="E760" s="3">
        <f t="shared" si="22"/>
        <v>2.1217021958436791E-2</v>
      </c>
      <c r="F760" s="3">
        <f>E760/$K$1</f>
        <v>2.6301006518453934E-3</v>
      </c>
      <c r="G760" s="5">
        <f t="shared" si="23"/>
        <v>101325.00171676233</v>
      </c>
    </row>
    <row r="761" spans="1:7" x14ac:dyDescent="0.25">
      <c r="A761">
        <v>3159</v>
      </c>
      <c r="B761" s="3">
        <v>0</v>
      </c>
      <c r="C761" s="3">
        <f>B761*$K$4</f>
        <v>0</v>
      </c>
      <c r="D761" s="3">
        <f>(E760/$K$1)*$K$2*1</f>
        <v>1.7095654236995057E-4</v>
      </c>
      <c r="E761" s="3">
        <f t="shared" si="22"/>
        <v>2.104606541606684E-2</v>
      </c>
      <c r="F761" s="3">
        <f>E761/$K$1</f>
        <v>2.6089085677534199E-3</v>
      </c>
      <c r="G761" s="5">
        <f t="shared" si="23"/>
        <v>101325.00161456261</v>
      </c>
    </row>
    <row r="762" spans="1:7" x14ac:dyDescent="0.25">
      <c r="A762">
        <v>3160</v>
      </c>
      <c r="B762" s="3">
        <v>0</v>
      </c>
      <c r="C762" s="3">
        <f>B762*$K$4</f>
        <v>0</v>
      </c>
      <c r="D762" s="3">
        <f>(E761/$K$1)*$K$2*1</f>
        <v>1.6957905690397231E-4</v>
      </c>
      <c r="E762" s="3">
        <f t="shared" si="22"/>
        <v>2.0876486359162869E-2</v>
      </c>
      <c r="F762" s="3">
        <f>E762/$K$1</f>
        <v>2.5878872392665017E-3</v>
      </c>
      <c r="G762" s="5">
        <f t="shared" si="23"/>
        <v>101325.00151545157</v>
      </c>
    </row>
    <row r="763" spans="1:7" x14ac:dyDescent="0.25">
      <c r="A763">
        <v>3161</v>
      </c>
      <c r="B763" s="3">
        <v>0</v>
      </c>
      <c r="C763" s="3">
        <f>B763*$K$4</f>
        <v>0</v>
      </c>
      <c r="D763" s="3">
        <f>(E762/$K$1)*$K$2*1</f>
        <v>1.6821267055232262E-4</v>
      </c>
      <c r="E763" s="3">
        <f t="shared" si="22"/>
        <v>2.0708273688610546E-2</v>
      </c>
      <c r="F763" s="3">
        <f>E763/$K$1</f>
        <v>2.567035290518228E-3</v>
      </c>
      <c r="G763" s="5">
        <f t="shared" si="23"/>
        <v>101325.0014194307</v>
      </c>
    </row>
    <row r="764" spans="1:7" x14ac:dyDescent="0.25">
      <c r="A764">
        <v>3162</v>
      </c>
      <c r="B764" s="3">
        <v>0</v>
      </c>
      <c r="C764" s="3">
        <f>B764*$K$4</f>
        <v>0</v>
      </c>
      <c r="D764" s="3">
        <f>(E763/$K$1)*$K$2*1</f>
        <v>1.6685729388368482E-4</v>
      </c>
      <c r="E764" s="3">
        <f t="shared" si="22"/>
        <v>2.0541416394726862E-2</v>
      </c>
      <c r="F764" s="3">
        <f>E764/$K$1</f>
        <v>2.5463513567282586E-3</v>
      </c>
      <c r="G764" s="5">
        <f t="shared" si="23"/>
        <v>101325.0013265016</v>
      </c>
    </row>
    <row r="765" spans="1:7" x14ac:dyDescent="0.25">
      <c r="A765">
        <v>3163</v>
      </c>
      <c r="B765" s="3">
        <v>0</v>
      </c>
      <c r="C765" s="3">
        <f>B765*$K$4</f>
        <v>0</v>
      </c>
      <c r="D765" s="3">
        <f>(E764/$K$1)*$K$2*1</f>
        <v>1.6551283818733682E-4</v>
      </c>
      <c r="E765" s="3">
        <f t="shared" si="22"/>
        <v>2.0375903556539527E-2</v>
      </c>
      <c r="F765" s="3">
        <f>E765/$K$1</f>
        <v>2.5258340841129946E-3</v>
      </c>
      <c r="G765" s="5">
        <f t="shared" si="23"/>
        <v>101325.00123666599</v>
      </c>
    </row>
    <row r="766" spans="1:7" x14ac:dyDescent="0.25">
      <c r="A766">
        <v>3164</v>
      </c>
      <c r="B766" s="3">
        <v>0</v>
      </c>
      <c r="C766" s="3">
        <f>B766*$K$4</f>
        <v>0</v>
      </c>
      <c r="D766" s="3">
        <f>(E765/$K$1)*$K$2*1</f>
        <v>1.6417921546734465E-4</v>
      </c>
      <c r="E766" s="3">
        <f t="shared" si="22"/>
        <v>2.0211724341072181E-2</v>
      </c>
      <c r="F766" s="3">
        <f>E766/$K$1</f>
        <v>2.5054821297969729E-3</v>
      </c>
      <c r="G766" s="5">
        <f t="shared" si="23"/>
        <v>101325.00114992571</v>
      </c>
    </row>
    <row r="767" spans="1:7" x14ac:dyDescent="0.25">
      <c r="A767">
        <v>3165</v>
      </c>
      <c r="B767" s="3">
        <v>0</v>
      </c>
      <c r="C767" s="3">
        <f>B767*$K$4</f>
        <v>0</v>
      </c>
      <c r="D767" s="3">
        <f>(E766/$K$1)*$K$2*1</f>
        <v>1.6285633843680325E-4</v>
      </c>
      <c r="E767" s="3">
        <f t="shared" si="22"/>
        <v>2.0048868002635379E-2</v>
      </c>
      <c r="F767" s="3">
        <f>E767/$K$1</f>
        <v>2.4852941617249757E-3</v>
      </c>
      <c r="G767" s="5">
        <f t="shared" si="23"/>
        <v>101325.00106628273</v>
      </c>
    </row>
    <row r="768" spans="1:7" x14ac:dyDescent="0.25">
      <c r="A768">
        <v>3166</v>
      </c>
      <c r="B768" s="3">
        <v>0</v>
      </c>
      <c r="C768" s="3">
        <f>B768*$K$4</f>
        <v>0</v>
      </c>
      <c r="D768" s="3">
        <f>(E767/$K$1)*$K$2*1</f>
        <v>1.6154412051212343E-4</v>
      </c>
      <c r="E768" s="3">
        <f t="shared" si="22"/>
        <v>1.9887323882123255E-2</v>
      </c>
      <c r="F768" s="3">
        <f>E768/$K$1</f>
        <v>2.4652688585748424E-3</v>
      </c>
      <c r="G768" s="5">
        <f t="shared" si="23"/>
        <v>101325.00098573917</v>
      </c>
    </row>
    <row r="769" spans="1:7" x14ac:dyDescent="0.25">
      <c r="A769">
        <v>3167</v>
      </c>
      <c r="B769" s="3">
        <v>0</v>
      </c>
      <c r="C769" s="3">
        <f>B769*$K$4</f>
        <v>0</v>
      </c>
      <c r="D769" s="3">
        <f>(E768/$K$1)*$K$2*1</f>
        <v>1.6024247580736476E-4</v>
      </c>
      <c r="E769" s="3">
        <f t="shared" si="22"/>
        <v>1.9727081406315891E-2</v>
      </c>
      <c r="F769" s="3">
        <f>E769/$K$1</f>
        <v>2.4454049096709917E-3</v>
      </c>
      <c r="G769" s="5">
        <f t="shared" si="23"/>
        <v>101325.00090829734</v>
      </c>
    </row>
    <row r="770" spans="1:7" x14ac:dyDescent="0.25">
      <c r="A770">
        <v>3168</v>
      </c>
      <c r="B770" s="3">
        <v>0</v>
      </c>
      <c r="C770" s="3">
        <f>B770*$K$4</f>
        <v>0</v>
      </c>
      <c r="D770" s="3">
        <f>(E769/$K$1)*$K$2*1</f>
        <v>1.5895131912861446E-4</v>
      </c>
      <c r="E770" s="3">
        <f t="shared" si="22"/>
        <v>1.9568130087187278E-2</v>
      </c>
      <c r="F770" s="3">
        <f>E770/$K$1</f>
        <v>2.4257010148986337E-3</v>
      </c>
      <c r="G770" s="5">
        <f t="shared" si="23"/>
        <v>101325.00083395973</v>
      </c>
    </row>
    <row r="771" spans="1:7" x14ac:dyDescent="0.25">
      <c r="A771">
        <v>3169</v>
      </c>
      <c r="B771" s="3">
        <v>0</v>
      </c>
      <c r="C771" s="3">
        <f>B771*$K$4</f>
        <v>0</v>
      </c>
      <c r="D771" s="3">
        <f>(E770/$K$1)*$K$2*1</f>
        <v>1.5767056596841119E-4</v>
      </c>
      <c r="E771" s="3">
        <f t="shared" si="22"/>
        <v>1.9410459521218868E-2</v>
      </c>
      <c r="F771" s="3">
        <f>E771/$K$1</f>
        <v>2.406155884618677E-3</v>
      </c>
      <c r="G771" s="5">
        <f t="shared" si="23"/>
        <v>101325.00076272903</v>
      </c>
    </row>
    <row r="772" spans="1:7" x14ac:dyDescent="0.25">
      <c r="A772">
        <v>3170</v>
      </c>
      <c r="B772" s="3">
        <v>0</v>
      </c>
      <c r="C772" s="3">
        <f>B772*$K$4</f>
        <v>0</v>
      </c>
      <c r="D772" s="3">
        <f>(E771/$K$1)*$K$2*1</f>
        <v>1.5640013250021401E-4</v>
      </c>
      <c r="E772" s="3">
        <f t="shared" ref="E772:E835" si="24">E771+C772-D772</f>
        <v>1.9254059388718655E-2</v>
      </c>
      <c r="F772" s="3">
        <f>E772/$K$1</f>
        <v>2.3867682395833215E-3</v>
      </c>
      <c r="G772" s="5">
        <f t="shared" ref="G772:G835" si="25">G771+C772-$K$5*$K$9*SQRT(MAX(0,2*$K$6*(G771-$K$11)))</f>
        <v>101325.00069460823</v>
      </c>
    </row>
    <row r="773" spans="1:7" x14ac:dyDescent="0.25">
      <c r="A773">
        <v>3171</v>
      </c>
      <c r="B773" s="3">
        <v>0</v>
      </c>
      <c r="C773" s="3">
        <f>B773*$K$4</f>
        <v>0</v>
      </c>
      <c r="D773" s="3">
        <f>(E772/$K$1)*$K$2*1</f>
        <v>1.551399355729159E-4</v>
      </c>
      <c r="E773" s="3">
        <f t="shared" si="24"/>
        <v>1.9098919453145739E-2</v>
      </c>
      <c r="F773" s="3">
        <f>E773/$K$1</f>
        <v>2.3675368108523288E-3</v>
      </c>
      <c r="G773" s="5">
        <f t="shared" si="25"/>
        <v>101325.00062960056</v>
      </c>
    </row>
    <row r="774" spans="1:7" x14ac:dyDescent="0.25">
      <c r="A774">
        <v>3172</v>
      </c>
      <c r="B774" s="3">
        <v>0</v>
      </c>
      <c r="C774" s="3">
        <f>B774*$K$4</f>
        <v>0</v>
      </c>
      <c r="D774" s="3">
        <f>(E773/$K$1)*$K$2*1</f>
        <v>1.5388989270540137E-4</v>
      </c>
      <c r="E774" s="3">
        <f t="shared" si="24"/>
        <v>1.8945029560440339E-2</v>
      </c>
      <c r="F774" s="3">
        <f>E774/$K$1</f>
        <v>2.3484603397099712E-3</v>
      </c>
      <c r="G774" s="5">
        <f t="shared" si="25"/>
        <v>101325.00056770961</v>
      </c>
    </row>
    <row r="775" spans="1:7" x14ac:dyDescent="0.25">
      <c r="A775">
        <v>3173</v>
      </c>
      <c r="B775" s="3">
        <v>0</v>
      </c>
      <c r="C775" s="3">
        <f>B775*$K$4</f>
        <v>0</v>
      </c>
      <c r="D775" s="3">
        <f>(E774/$K$1)*$K$2*1</f>
        <v>1.5264992208114813E-4</v>
      </c>
      <c r="E775" s="3">
        <f t="shared" si="24"/>
        <v>1.879237963835919E-2</v>
      </c>
      <c r="F775" s="3">
        <f>E775/$K$1</f>
        <v>2.3295375775826441E-3</v>
      </c>
      <c r="G775" s="5">
        <f t="shared" si="25"/>
        <v>101325.00050893932</v>
      </c>
    </row>
    <row r="776" spans="1:7" x14ac:dyDescent="0.25">
      <c r="A776">
        <v>3174</v>
      </c>
      <c r="B776" s="3">
        <v>0</v>
      </c>
      <c r="C776" s="3">
        <f>B776*$K$4</f>
        <v>0</v>
      </c>
      <c r="D776" s="3">
        <f>(E775/$K$1)*$K$2*1</f>
        <v>1.5141994254287187E-4</v>
      </c>
      <c r="E776" s="3">
        <f t="shared" si="24"/>
        <v>1.8640959695816316E-2</v>
      </c>
      <c r="F776" s="3">
        <f>E776/$K$1</f>
        <v>2.3107672859571482E-3</v>
      </c>
      <c r="G776" s="5">
        <f t="shared" si="25"/>
        <v>101325.00045329414</v>
      </c>
    </row>
    <row r="777" spans="1:7" x14ac:dyDescent="0.25">
      <c r="A777">
        <v>3175</v>
      </c>
      <c r="B777" s="3">
        <v>0</v>
      </c>
      <c r="C777" s="3">
        <f>B777*$K$4</f>
        <v>0</v>
      </c>
      <c r="D777" s="3">
        <f>(E776/$K$1)*$K$2*1</f>
        <v>1.5019987358721464E-4</v>
      </c>
      <c r="E777" s="3">
        <f t="shared" si="24"/>
        <v>1.8490759822229103E-2</v>
      </c>
      <c r="F777" s="3">
        <f>E777/$K$1</f>
        <v>2.2921482362996287E-3</v>
      </c>
      <c r="G777" s="5">
        <f t="shared" si="25"/>
        <v>101325.00040077898</v>
      </c>
    </row>
    <row r="778" spans="1:7" x14ac:dyDescent="0.25">
      <c r="A778">
        <v>3176</v>
      </c>
      <c r="B778" s="3">
        <v>0</v>
      </c>
      <c r="C778" s="3">
        <f>B778*$K$4</f>
        <v>0</v>
      </c>
      <c r="D778" s="3">
        <f>(E777/$K$1)*$K$2*1</f>
        <v>1.4898963535947587E-4</v>
      </c>
      <c r="E778" s="3">
        <f t="shared" si="24"/>
        <v>1.8341770186869628E-2</v>
      </c>
      <c r="F778" s="3">
        <f>E778/$K$1</f>
        <v>2.2736792099751616E-3</v>
      </c>
      <c r="G778" s="5">
        <f t="shared" si="25"/>
        <v>101325.00035139945</v>
      </c>
    </row>
    <row r="779" spans="1:7" x14ac:dyDescent="0.25">
      <c r="A779">
        <v>3177</v>
      </c>
      <c r="B779" s="3">
        <v>0</v>
      </c>
      <c r="C779" s="3">
        <f>B779*$K$4</f>
        <v>0</v>
      </c>
      <c r="D779" s="3">
        <f>(E778/$K$1)*$K$2*1</f>
        <v>1.4778914864838552E-4</v>
      </c>
      <c r="E779" s="3">
        <f t="shared" si="24"/>
        <v>1.8193981038221244E-2</v>
      </c>
      <c r="F779" s="3">
        <f>E779/$K$1</f>
        <v>2.2553589981679986E-3</v>
      </c>
      <c r="G779" s="5">
        <f t="shared" si="25"/>
        <v>101325.00030516186</v>
      </c>
    </row>
    <row r="780" spans="1:7" x14ac:dyDescent="0.25">
      <c r="A780">
        <v>3178</v>
      </c>
      <c r="B780" s="3">
        <v>0</v>
      </c>
      <c r="C780" s="3">
        <f>B780*$K$4</f>
        <v>0</v>
      </c>
      <c r="D780" s="3">
        <f>(E779/$K$1)*$K$2*1</f>
        <v>1.465983348809199E-4</v>
      </c>
      <c r="E780" s="3">
        <f t="shared" si="24"/>
        <v>1.8047382703340324E-2</v>
      </c>
      <c r="F780" s="3">
        <f>E780/$K$1</f>
        <v>2.237186401802445E-3</v>
      </c>
      <c r="G780" s="5">
        <f t="shared" si="25"/>
        <v>101325.00026207352</v>
      </c>
    </row>
    <row r="781" spans="1:7" x14ac:dyDescent="0.25">
      <c r="A781">
        <v>3179</v>
      </c>
      <c r="B781" s="3">
        <v>0</v>
      </c>
      <c r="C781" s="3">
        <f>B781*$K$4</f>
        <v>0</v>
      </c>
      <c r="D781" s="3">
        <f>(E780/$K$1)*$K$2*1</f>
        <v>1.4541711611715892E-4</v>
      </c>
      <c r="E781" s="3">
        <f t="shared" si="24"/>
        <v>1.7901965587223165E-2</v>
      </c>
      <c r="F781" s="3">
        <f>E781/$K$1</f>
        <v>2.2191602314643815E-3</v>
      </c>
      <c r="G781" s="5">
        <f t="shared" si="25"/>
        <v>101325.00022214289</v>
      </c>
    </row>
    <row r="782" spans="1:7" x14ac:dyDescent="0.25">
      <c r="A782">
        <v>3180</v>
      </c>
      <c r="B782" s="3">
        <v>0</v>
      </c>
      <c r="C782" s="3">
        <f>B782*$K$4</f>
        <v>0</v>
      </c>
      <c r="D782" s="3">
        <f>(E781/$K$1)*$K$2*1</f>
        <v>1.4424541504518481E-4</v>
      </c>
      <c r="E782" s="3">
        <f t="shared" si="24"/>
        <v>1.7757720172177981E-2</v>
      </c>
      <c r="F782" s="3">
        <f>E782/$K$1</f>
        <v>2.2012793073234141E-3</v>
      </c>
      <c r="G782" s="5">
        <f t="shared" si="25"/>
        <v>101325.0001853799</v>
      </c>
    </row>
    <row r="783" spans="1:7" x14ac:dyDescent="0.25">
      <c r="A783">
        <v>3181</v>
      </c>
      <c r="B783" s="3">
        <v>0</v>
      </c>
      <c r="C783" s="3">
        <f>B783*$K$4</f>
        <v>0</v>
      </c>
      <c r="D783" s="3">
        <f>(E782/$K$1)*$K$2*1</f>
        <v>1.4308315497602191E-4</v>
      </c>
      <c r="E783" s="3">
        <f t="shared" si="24"/>
        <v>1.7614637017201961E-2</v>
      </c>
      <c r="F783" s="3">
        <f>E783/$K$1</f>
        <v>2.1835424590556539E-3</v>
      </c>
      <c r="G783" s="5">
        <f t="shared" si="25"/>
        <v>101325.00015179641</v>
      </c>
    </row>
    <row r="784" spans="1:7" x14ac:dyDescent="0.25">
      <c r="A784">
        <v>3182</v>
      </c>
      <c r="B784" s="3">
        <v>0</v>
      </c>
      <c r="C784" s="3">
        <f>B784*$K$4</f>
        <v>0</v>
      </c>
      <c r="D784" s="3">
        <f>(E783/$K$1)*$K$2*1</f>
        <v>1.4193025983861749E-4</v>
      </c>
      <c r="E784" s="3">
        <f t="shared" si="24"/>
        <v>1.7472706757363343E-2</v>
      </c>
      <c r="F784" s="3">
        <f>E784/$K$1</f>
        <v>2.1659485257671182E-3</v>
      </c>
      <c r="G784" s="5">
        <f t="shared" si="25"/>
        <v>101325.00012140679</v>
      </c>
    </row>
    <row r="785" spans="1:7" x14ac:dyDescent="0.25">
      <c r="A785">
        <v>3183</v>
      </c>
      <c r="B785" s="3">
        <v>0</v>
      </c>
      <c r="C785" s="3">
        <f>B785*$K$4</f>
        <v>0</v>
      </c>
      <c r="D785" s="3">
        <f>(E784/$K$1)*$K$2*1</f>
        <v>1.4078665417486269E-4</v>
      </c>
      <c r="E785" s="3">
        <f t="shared" si="24"/>
        <v>1.7331920103188479E-2</v>
      </c>
      <c r="F785" s="3">
        <f>E785/$K$1</f>
        <v>2.1484963559177486E-3</v>
      </c>
      <c r="G785" s="5">
        <f t="shared" si="25"/>
        <v>101325.00009422888</v>
      </c>
    </row>
    <row r="786" spans="1:7" x14ac:dyDescent="0.25">
      <c r="A786">
        <v>3184</v>
      </c>
      <c r="B786" s="3">
        <v>0</v>
      </c>
      <c r="C786" s="3">
        <f>B786*$K$4</f>
        <v>0</v>
      </c>
      <c r="D786" s="3">
        <f>(E785/$K$1)*$K$2*1</f>
        <v>1.3965226313465367E-4</v>
      </c>
      <c r="E786" s="3">
        <f t="shared" si="24"/>
        <v>1.7192267840053826E-2</v>
      </c>
      <c r="F786" s="3">
        <f>E786/$K$1</f>
        <v>2.1311848072460425E-3</v>
      </c>
      <c r="G786" s="5">
        <f t="shared" si="25"/>
        <v>101325.00007028543</v>
      </c>
    </row>
    <row r="787" spans="1:7" x14ac:dyDescent="0.25">
      <c r="A787">
        <v>3185</v>
      </c>
      <c r="B787" s="3">
        <v>0</v>
      </c>
      <c r="C787" s="3">
        <f>B787*$K$4</f>
        <v>0</v>
      </c>
      <c r="D787" s="3">
        <f>(E786/$K$1)*$K$2*1</f>
        <v>1.3852701247099277E-4</v>
      </c>
      <c r="E787" s="3">
        <f t="shared" si="24"/>
        <v>1.7053740827582833E-2</v>
      </c>
      <c r="F787" s="3">
        <f>E787/$K$1</f>
        <v>2.1140127466942895E-3</v>
      </c>
      <c r="G787" s="5">
        <f t="shared" si="25"/>
        <v>101325.00004960653</v>
      </c>
    </row>
    <row r="788" spans="1:7" x14ac:dyDescent="0.25">
      <c r="A788">
        <v>3186</v>
      </c>
      <c r="B788" s="3">
        <v>0</v>
      </c>
      <c r="C788" s="3">
        <f>B788*$K$4</f>
        <v>0</v>
      </c>
      <c r="D788" s="3">
        <f>(E787/$K$1)*$K$2*1</f>
        <v>1.3741082853512882E-4</v>
      </c>
      <c r="E788" s="3">
        <f t="shared" si="24"/>
        <v>1.6916329999047703E-2</v>
      </c>
      <c r="F788" s="3">
        <f>E788/$K$1</f>
        <v>2.0969790503344121E-3</v>
      </c>
      <c r="G788" s="5">
        <f t="shared" si="25"/>
        <v>101325.00003223396</v>
      </c>
    </row>
    <row r="789" spans="1:7" x14ac:dyDescent="0.25">
      <c r="A789">
        <v>3187</v>
      </c>
      <c r="B789" s="3">
        <v>0</v>
      </c>
      <c r="C789" s="3">
        <f>B789*$K$4</f>
        <v>0</v>
      </c>
      <c r="D789" s="3">
        <f>(E788/$K$1)*$K$2*1</f>
        <v>1.3630363827173679E-4</v>
      </c>
      <c r="E789" s="3">
        <f t="shared" si="24"/>
        <v>1.6780026360775965E-2</v>
      </c>
      <c r="F789" s="3">
        <f>E789/$K$1</f>
        <v>2.0800826032944049E-3</v>
      </c>
      <c r="G789" s="5">
        <f t="shared" si="25"/>
        <v>101325.00001822998</v>
      </c>
    </row>
    <row r="790" spans="1:7" x14ac:dyDescent="0.25">
      <c r="A790">
        <v>3188</v>
      </c>
      <c r="B790" s="3">
        <v>0</v>
      </c>
      <c r="C790" s="3">
        <f>B790*$K$4</f>
        <v>0</v>
      </c>
      <c r="D790" s="3">
        <f>(E789/$K$1)*$K$2*1</f>
        <v>1.3520536921413632E-4</v>
      </c>
      <c r="E790" s="3">
        <f t="shared" si="24"/>
        <v>1.6644820991561827E-2</v>
      </c>
      <c r="F790" s="3">
        <f>E790/$K$1</f>
        <v>2.0633222996853636E-3</v>
      </c>
      <c r="G790" s="5">
        <f t="shared" si="25"/>
        <v>101325.00000769855</v>
      </c>
    </row>
    <row r="791" spans="1:7" x14ac:dyDescent="0.25">
      <c r="A791">
        <v>3189</v>
      </c>
      <c r="B791" s="3">
        <v>0</v>
      </c>
      <c r="C791" s="3">
        <f>B791*$K$4</f>
        <v>0</v>
      </c>
      <c r="D791" s="3">
        <f>(E790/$K$1)*$K$2*1</f>
        <v>1.3411594947954864E-4</v>
      </c>
      <c r="E791" s="3">
        <f t="shared" si="24"/>
        <v>1.6510705042082279E-2</v>
      </c>
      <c r="F791" s="3">
        <f>E791/$K$1</f>
        <v>2.0466970425291036E-3</v>
      </c>
      <c r="G791" s="5">
        <f t="shared" si="25"/>
        <v>101325.00000085472</v>
      </c>
    </row>
    <row r="792" spans="1:7" x14ac:dyDescent="0.25">
      <c r="A792">
        <v>3190</v>
      </c>
      <c r="B792" s="3">
        <v>0</v>
      </c>
      <c r="C792" s="3">
        <f>B792*$K$4</f>
        <v>0</v>
      </c>
      <c r="D792" s="3">
        <f>(E791/$K$1)*$K$2*1</f>
        <v>1.3303530776439173E-4</v>
      </c>
      <c r="E792" s="3">
        <f t="shared" si="24"/>
        <v>1.6377669734317889E-2</v>
      </c>
      <c r="F792" s="3">
        <f>E792/$K$1</f>
        <v>2.0302057436863627E-3</v>
      </c>
      <c r="G792" s="5">
        <f t="shared" si="25"/>
        <v>101324.99999857435</v>
      </c>
    </row>
    <row r="793" spans="1:7" x14ac:dyDescent="0.25">
      <c r="A793">
        <v>3191</v>
      </c>
      <c r="B793" s="3">
        <v>0</v>
      </c>
      <c r="C793" s="3">
        <f>B793*$K$4</f>
        <v>0</v>
      </c>
      <c r="D793" s="3">
        <f>(E792/$K$1)*$K$2*1</f>
        <v>1.3196337333961359E-4</v>
      </c>
      <c r="E793" s="3">
        <f t="shared" si="24"/>
        <v>1.6245706360978274E-2</v>
      </c>
      <c r="F793" s="3">
        <f>E793/$K$1</f>
        <v>2.01384732378558E-3</v>
      </c>
      <c r="G793" s="5">
        <f t="shared" si="25"/>
        <v>101324.99999857435</v>
      </c>
    </row>
    <row r="794" spans="1:7" x14ac:dyDescent="0.25">
      <c r="A794">
        <v>3192</v>
      </c>
      <c r="B794" s="3">
        <v>0</v>
      </c>
      <c r="C794" s="3">
        <f>B794*$K$4</f>
        <v>0</v>
      </c>
      <c r="D794" s="3">
        <f>(E793/$K$1)*$K$2*1</f>
        <v>1.3090007604606271E-4</v>
      </c>
      <c r="E794" s="3">
        <f t="shared" si="24"/>
        <v>1.6114806284932212E-2</v>
      </c>
      <c r="F794" s="3">
        <f>E794/$K$1</f>
        <v>1.9976207121522515E-3</v>
      </c>
      <c r="G794" s="5">
        <f t="shared" si="25"/>
        <v>101324.99999857435</v>
      </c>
    </row>
    <row r="795" spans="1:7" x14ac:dyDescent="0.25">
      <c r="A795">
        <v>3193</v>
      </c>
      <c r="B795" s="3">
        <v>0</v>
      </c>
      <c r="C795" s="3">
        <f>B795*$K$4</f>
        <v>0</v>
      </c>
      <c r="D795" s="3">
        <f>(E794/$K$1)*$K$2*1</f>
        <v>1.2984534628989635E-4</v>
      </c>
      <c r="E795" s="3">
        <f t="shared" si="24"/>
        <v>1.5984960938642316E-2</v>
      </c>
      <c r="F795" s="3">
        <f>E795/$K$1</f>
        <v>1.9815248467388515E-3</v>
      </c>
      <c r="G795" s="5">
        <f t="shared" si="25"/>
        <v>101324.99999857435</v>
      </c>
    </row>
    <row r="796" spans="1:7" x14ac:dyDescent="0.25">
      <c r="A796">
        <v>3194</v>
      </c>
      <c r="B796" s="3">
        <v>0</v>
      </c>
      <c r="C796" s="3">
        <f>B796*$K$4</f>
        <v>0</v>
      </c>
      <c r="D796" s="3">
        <f>(E795/$K$1)*$K$2*1</f>
        <v>1.2879911503802535E-4</v>
      </c>
      <c r="E796" s="3">
        <f t="shared" si="24"/>
        <v>1.5856161823604289E-2</v>
      </c>
      <c r="F796" s="3">
        <f>E796/$K$1</f>
        <v>1.9655586740553229E-3</v>
      </c>
      <c r="G796" s="5">
        <f t="shared" si="25"/>
        <v>101324.99999857435</v>
      </c>
    </row>
    <row r="797" spans="1:7" x14ac:dyDescent="0.25">
      <c r="A797">
        <v>3195</v>
      </c>
      <c r="B797" s="3">
        <v>0</v>
      </c>
      <c r="C797" s="3">
        <f>B797*$K$4</f>
        <v>0</v>
      </c>
      <c r="D797" s="3">
        <f>(E796/$K$1)*$K$2*1</f>
        <v>1.2776131381359598E-4</v>
      </c>
      <c r="E797" s="3">
        <f t="shared" si="24"/>
        <v>1.5728400509790692E-2</v>
      </c>
      <c r="F797" s="3">
        <f>E797/$K$1</f>
        <v>1.9497211491001231E-3</v>
      </c>
      <c r="G797" s="5">
        <f t="shared" si="25"/>
        <v>101324.99999857435</v>
      </c>
    </row>
    <row r="798" spans="1:7" x14ac:dyDescent="0.25">
      <c r="A798">
        <v>3196</v>
      </c>
      <c r="B798" s="3">
        <v>0</v>
      </c>
      <c r="C798" s="3">
        <f>B798*$K$4</f>
        <v>0</v>
      </c>
      <c r="D798" s="3">
        <f>(E797/$K$1)*$K$2*1</f>
        <v>1.2673187469150802E-4</v>
      </c>
      <c r="E798" s="3">
        <f t="shared" si="24"/>
        <v>1.5601668635099184E-2</v>
      </c>
      <c r="F798" s="3">
        <f>E798/$K$1</f>
        <v>1.934011235291829E-3</v>
      </c>
      <c r="G798" s="5">
        <f t="shared" si="25"/>
        <v>101324.99999857435</v>
      </c>
    </row>
    <row r="799" spans="1:7" x14ac:dyDescent="0.25">
      <c r="A799">
        <v>3197</v>
      </c>
      <c r="B799" s="3">
        <v>0</v>
      </c>
      <c r="C799" s="3">
        <f>B799*$K$4</f>
        <v>0</v>
      </c>
      <c r="D799" s="3">
        <f>(E798/$K$1)*$K$2*1</f>
        <v>1.2571073029396889E-4</v>
      </c>
      <c r="E799" s="3">
        <f t="shared" si="24"/>
        <v>1.5475957904805215E-2</v>
      </c>
      <c r="F799" s="3">
        <f>E799/$K$1</f>
        <v>1.9184279044012912E-3</v>
      </c>
      <c r="G799" s="5">
        <f t="shared" si="25"/>
        <v>101324.99999857435</v>
      </c>
    </row>
    <row r="800" spans="1:7" x14ac:dyDescent="0.25">
      <c r="A800">
        <v>3198</v>
      </c>
      <c r="B800" s="3">
        <v>0</v>
      </c>
      <c r="C800" s="3">
        <f>B800*$K$4</f>
        <v>0</v>
      </c>
      <c r="D800" s="3">
        <f>(E799/$K$1)*$K$2*1</f>
        <v>1.2469781378608393E-4</v>
      </c>
      <c r="E800" s="3">
        <f t="shared" si="24"/>
        <v>1.5351260091019132E-2</v>
      </c>
      <c r="F800" s="3">
        <f>E800/$K$1</f>
        <v>1.902970136484335E-3</v>
      </c>
      <c r="G800" s="5">
        <f t="shared" si="25"/>
        <v>101324.99999857435</v>
      </c>
    </row>
    <row r="801" spans="1:7" x14ac:dyDescent="0.25">
      <c r="A801">
        <v>3199</v>
      </c>
      <c r="B801" s="3">
        <v>0</v>
      </c>
      <c r="C801" s="3">
        <f>B801*$K$4</f>
        <v>0</v>
      </c>
      <c r="D801" s="3">
        <f>(E800/$K$1)*$K$2*1</f>
        <v>1.2369305887148177E-4</v>
      </c>
      <c r="E801" s="3">
        <f t="shared" si="24"/>
        <v>1.522756703214765E-2</v>
      </c>
      <c r="F801" s="3">
        <f>E801/$K$1</f>
        <v>1.8876369198150055E-3</v>
      </c>
      <c r="G801" s="5">
        <f t="shared" si="25"/>
        <v>101324.99999857435</v>
      </c>
    </row>
    <row r="802" spans="1:7" x14ac:dyDescent="0.25">
      <c r="A802">
        <v>3200</v>
      </c>
      <c r="B802" s="3">
        <v>0</v>
      </c>
      <c r="C802" s="3">
        <f>B802*$K$4</f>
        <v>0</v>
      </c>
      <c r="D802" s="3">
        <f>(E801/$K$1)*$K$2*1</f>
        <v>1.2269639978797537E-4</v>
      </c>
      <c r="E802" s="3">
        <f t="shared" si="24"/>
        <v>1.5104870632359674E-2</v>
      </c>
      <c r="F802" s="3">
        <f>E802/$K$1</f>
        <v>1.8724272508193471E-3</v>
      </c>
      <c r="G802" s="5">
        <f t="shared" si="25"/>
        <v>101324.99999857435</v>
      </c>
    </row>
    <row r="803" spans="1:7" x14ac:dyDescent="0.25">
      <c r="A803">
        <v>3201</v>
      </c>
      <c r="B803" s="3">
        <v>0</v>
      </c>
      <c r="C803" s="3">
        <f>B803*$K$4</f>
        <v>0</v>
      </c>
      <c r="D803" s="3">
        <f>(E802/$K$1)*$K$2*1</f>
        <v>1.2170777130325757E-4</v>
      </c>
      <c r="E803" s="3">
        <f t="shared" si="24"/>
        <v>1.4983162861056417E-2</v>
      </c>
      <c r="F803" s="3">
        <f>E803/$K$1</f>
        <v>1.8573401340097207E-3</v>
      </c>
      <c r="G803" s="5">
        <f t="shared" si="25"/>
        <v>101324.99999857435</v>
      </c>
    </row>
    <row r="804" spans="1:7" x14ac:dyDescent="0.25">
      <c r="A804">
        <v>3202</v>
      </c>
      <c r="B804" s="3">
        <v>0</v>
      </c>
      <c r="C804" s="3">
        <f>B804*$K$4</f>
        <v>0</v>
      </c>
      <c r="D804" s="3">
        <f>(E803/$K$1)*$K$2*1</f>
        <v>1.2072710871063186E-4</v>
      </c>
      <c r="E804" s="3">
        <f t="shared" si="24"/>
        <v>1.4862435752345785E-2</v>
      </c>
      <c r="F804" s="3">
        <f>E804/$K$1</f>
        <v>1.8423745819196461E-3</v>
      </c>
      <c r="G804" s="5">
        <f t="shared" si="25"/>
        <v>101324.99999857435</v>
      </c>
    </row>
    <row r="805" spans="1:7" x14ac:dyDescent="0.25">
      <c r="A805">
        <v>3203</v>
      </c>
      <c r="B805" s="3">
        <v>0</v>
      </c>
      <c r="C805" s="3">
        <f>B805*$K$4</f>
        <v>0</v>
      </c>
      <c r="D805" s="3">
        <f>(E804/$K$1)*$K$2*1</f>
        <v>1.19754347824777E-4</v>
      </c>
      <c r="E805" s="3">
        <f t="shared" si="24"/>
        <v>1.4742681404521008E-2</v>
      </c>
      <c r="F805" s="3">
        <f>E805/$K$1</f>
        <v>1.8275296150391728E-3</v>
      </c>
      <c r="G805" s="5">
        <f t="shared" si="25"/>
        <v>101324.99999857435</v>
      </c>
    </row>
    <row r="806" spans="1:7" x14ac:dyDescent="0.25">
      <c r="A806">
        <v>3204</v>
      </c>
      <c r="B806" s="3">
        <v>0</v>
      </c>
      <c r="C806" s="3">
        <f>B806*$K$4</f>
        <v>0</v>
      </c>
      <c r="D806" s="3">
        <f>(E805/$K$1)*$K$2*1</f>
        <v>1.1878942497754624E-4</v>
      </c>
      <c r="E806" s="3">
        <f t="shared" si="24"/>
        <v>1.4623891979543462E-2</v>
      </c>
      <c r="F806" s="3">
        <f>E806/$K$1</f>
        <v>1.81280426175077E-3</v>
      </c>
      <c r="G806" s="5">
        <f t="shared" si="25"/>
        <v>101324.99999857435</v>
      </c>
    </row>
    <row r="807" spans="1:7" x14ac:dyDescent="0.25">
      <c r="A807">
        <v>3205</v>
      </c>
      <c r="B807" s="3">
        <v>0</v>
      </c>
      <c r="C807" s="3">
        <f>B807*$K$4</f>
        <v>0</v>
      </c>
      <c r="D807" s="3">
        <f>(E806/$K$1)*$K$2*1</f>
        <v>1.1783227701380006E-4</v>
      </c>
      <c r="E807" s="3">
        <f t="shared" si="24"/>
        <v>1.4506059702529661E-2</v>
      </c>
      <c r="F807" s="3">
        <f>E807/$K$1</f>
        <v>1.7981975582657321E-3</v>
      </c>
      <c r="G807" s="5">
        <f t="shared" si="25"/>
        <v>101324.99999857435</v>
      </c>
    </row>
    <row r="808" spans="1:7" x14ac:dyDescent="0.25">
      <c r="A808">
        <v>3206</v>
      </c>
      <c r="B808" s="3">
        <v>0</v>
      </c>
      <c r="C808" s="3">
        <f>B808*$K$4</f>
        <v>0</v>
      </c>
      <c r="D808" s="3">
        <f>(E807/$K$1)*$K$2*1</f>
        <v>1.1688284128727259E-4</v>
      </c>
      <c r="E808" s="3">
        <f t="shared" si="24"/>
        <v>1.4389176861242388E-2</v>
      </c>
      <c r="F808" s="3">
        <f>E808/$K$1</f>
        <v>1.7837085485610993E-3</v>
      </c>
      <c r="G808" s="5">
        <f t="shared" si="25"/>
        <v>101324.99999857435</v>
      </c>
    </row>
    <row r="809" spans="1:7" x14ac:dyDescent="0.25">
      <c r="A809">
        <v>3207</v>
      </c>
      <c r="B809" s="3">
        <v>0</v>
      </c>
      <c r="C809" s="3">
        <f>B809*$K$4</f>
        <v>0</v>
      </c>
      <c r="D809" s="3">
        <f>(E808/$K$1)*$K$2*1</f>
        <v>1.1594105565647146E-4</v>
      </c>
      <c r="E809" s="3">
        <f t="shared" si="24"/>
        <v>1.4273235805585916E-2</v>
      </c>
      <c r="F809" s="3">
        <f>E809/$K$1</f>
        <v>1.7693362843170838E-3</v>
      </c>
      <c r="G809" s="5">
        <f t="shared" si="25"/>
        <v>101324.99999857435</v>
      </c>
    </row>
    <row r="810" spans="1:7" x14ac:dyDescent="0.25">
      <c r="A810">
        <v>3208</v>
      </c>
      <c r="B810" s="3">
        <v>0</v>
      </c>
      <c r="C810" s="3">
        <f>B810*$K$4</f>
        <v>0</v>
      </c>
      <c r="D810" s="3">
        <f>(E809/$K$1)*$K$2*1</f>
        <v>1.1500685848061046E-4</v>
      </c>
      <c r="E810" s="3">
        <f t="shared" si="24"/>
        <v>1.4158228947105306E-2</v>
      </c>
      <c r="F810" s="3">
        <f>E810/$K$1</f>
        <v>1.7550798248550025E-3</v>
      </c>
      <c r="G810" s="5">
        <f t="shared" si="25"/>
        <v>101324.99999857435</v>
      </c>
    </row>
    <row r="811" spans="1:7" x14ac:dyDescent="0.25">
      <c r="A811">
        <v>3209</v>
      </c>
      <c r="B811" s="3">
        <v>0</v>
      </c>
      <c r="C811" s="3">
        <f>B811*$K$4</f>
        <v>0</v>
      </c>
      <c r="D811" s="3">
        <f>(E810/$K$1)*$K$2*1</f>
        <v>1.1408018861557516E-4</v>
      </c>
      <c r="E811" s="3">
        <f t="shared" si="24"/>
        <v>1.404414875848973E-2</v>
      </c>
      <c r="F811" s="3">
        <f>E811/$K$1</f>
        <v>1.7409382370757072E-3</v>
      </c>
      <c r="G811" s="5">
        <f t="shared" si="25"/>
        <v>101324.99999857435</v>
      </c>
    </row>
    <row r="812" spans="1:7" x14ac:dyDescent="0.25">
      <c r="A812">
        <v>3210</v>
      </c>
      <c r="B812" s="3">
        <v>0</v>
      </c>
      <c r="C812" s="3">
        <f>B812*$K$4</f>
        <v>0</v>
      </c>
      <c r="D812" s="3">
        <f>(E811/$K$1)*$K$2*1</f>
        <v>1.1316098540992097E-4</v>
      </c>
      <c r="E812" s="3">
        <f t="shared" si="24"/>
        <v>1.3930987773079809E-2</v>
      </c>
      <c r="F812" s="3">
        <f>E812/$K$1</f>
        <v>1.7269105953985136E-3</v>
      </c>
      <c r="G812" s="5">
        <f t="shared" si="25"/>
        <v>101324.99999857435</v>
      </c>
    </row>
    <row r="813" spans="1:7" x14ac:dyDescent="0.25">
      <c r="A813">
        <v>3211</v>
      </c>
      <c r="B813" s="3">
        <v>0</v>
      </c>
      <c r="C813" s="3">
        <f>B813*$K$4</f>
        <v>0</v>
      </c>
      <c r="D813" s="3">
        <f>(E812/$K$1)*$K$2*1</f>
        <v>1.1224918870090339E-4</v>
      </c>
      <c r="E813" s="3">
        <f t="shared" si="24"/>
        <v>1.3818738584378905E-2</v>
      </c>
      <c r="F813" s="3">
        <f>E813/$K$1</f>
        <v>1.7129959817006205E-3</v>
      </c>
      <c r="G813" s="5">
        <f t="shared" si="25"/>
        <v>101324.99999857435</v>
      </c>
    </row>
    <row r="814" spans="1:7" x14ac:dyDescent="0.25">
      <c r="A814">
        <v>3212</v>
      </c>
      <c r="B814" s="3">
        <v>0</v>
      </c>
      <c r="C814" s="3">
        <f>B814*$K$4</f>
        <v>0</v>
      </c>
      <c r="D814" s="3">
        <f>(E813/$K$1)*$K$2*1</f>
        <v>1.1134473881054033E-4</v>
      </c>
      <c r="E814" s="3">
        <f t="shared" si="24"/>
        <v>1.3707393845568365E-2</v>
      </c>
      <c r="F814" s="3">
        <f>E814/$K$1</f>
        <v>1.699193485257018E-3</v>
      </c>
      <c r="G814" s="5">
        <f t="shared" si="25"/>
        <v>101324.99999857435</v>
      </c>
    </row>
    <row r="815" spans="1:7" x14ac:dyDescent="0.25">
      <c r="A815">
        <v>3213</v>
      </c>
      <c r="B815" s="3">
        <v>0</v>
      </c>
      <c r="C815" s="3">
        <f>B815*$K$4</f>
        <v>0</v>
      </c>
      <c r="D815" s="3">
        <f>(E814/$K$1)*$K$2*1</f>
        <v>1.1044757654170618E-4</v>
      </c>
      <c r="E815" s="3">
        <f t="shared" si="24"/>
        <v>1.3596946269026659E-2</v>
      </c>
      <c r="F815" s="3">
        <f>E815/$K$1</f>
        <v>1.6855022026808801E-3</v>
      </c>
      <c r="G815" s="5">
        <f t="shared" si="25"/>
        <v>101324.99999857435</v>
      </c>
    </row>
    <row r="816" spans="1:7" x14ac:dyDescent="0.25">
      <c r="A816">
        <v>3214</v>
      </c>
      <c r="B816" s="3">
        <v>0</v>
      </c>
      <c r="C816" s="3">
        <f>B816*$K$4</f>
        <v>0</v>
      </c>
      <c r="D816" s="3">
        <f>(E815/$K$1)*$K$2*1</f>
        <v>1.095576431742572E-4</v>
      </c>
      <c r="E816" s="3">
        <f t="shared" si="24"/>
        <v>1.3487388625852402E-2</v>
      </c>
      <c r="F816" s="3">
        <f>E816/$K$1</f>
        <v>1.6719212378644357E-3</v>
      </c>
      <c r="G816" s="5">
        <f t="shared" si="25"/>
        <v>101324.99999857435</v>
      </c>
    </row>
    <row r="817" spans="1:7" x14ac:dyDescent="0.25">
      <c r="A817">
        <v>3215</v>
      </c>
      <c r="B817" s="3">
        <v>0</v>
      </c>
      <c r="C817" s="3">
        <f>B817*$K$4</f>
        <v>0</v>
      </c>
      <c r="D817" s="3">
        <f>(E816/$K$1)*$K$2*1</f>
        <v>1.0867488046118832E-4</v>
      </c>
      <c r="E817" s="3">
        <f t="shared" si="24"/>
        <v>1.3378713745391214E-2</v>
      </c>
      <c r="F817" s="3">
        <f>E817/$K$1</f>
        <v>1.6584497019203192E-3</v>
      </c>
      <c r="G817" s="5">
        <f t="shared" si="25"/>
        <v>101324.99999857435</v>
      </c>
    </row>
    <row r="818" spans="1:7" x14ac:dyDescent="0.25">
      <c r="A818">
        <v>3216</v>
      </c>
      <c r="B818" s="3">
        <v>0</v>
      </c>
      <c r="C818" s="3">
        <f>B818*$K$4</f>
        <v>0</v>
      </c>
      <c r="D818" s="3">
        <f>(E817/$K$1)*$K$2*1</f>
        <v>1.0779923062482074E-4</v>
      </c>
      <c r="E818" s="3">
        <f t="shared" si="24"/>
        <v>1.3270914514766394E-2</v>
      </c>
      <c r="F818" s="3">
        <f>E818/$K$1</f>
        <v>1.6450867131233909E-3</v>
      </c>
      <c r="G818" s="5">
        <f t="shared" si="25"/>
        <v>101324.99999857435</v>
      </c>
    </row>
    <row r="819" spans="1:7" x14ac:dyDescent="0.25">
      <c r="A819">
        <v>3217</v>
      </c>
      <c r="B819" s="3">
        <v>0</v>
      </c>
      <c r="C819" s="3">
        <f>B819*$K$4</f>
        <v>0</v>
      </c>
      <c r="D819" s="3">
        <f>(E818/$K$1)*$K$2*1</f>
        <v>1.0693063635302042E-4</v>
      </c>
      <c r="E819" s="3">
        <f t="shared" si="24"/>
        <v>1.3163983878413374E-2</v>
      </c>
      <c r="F819" s="3">
        <f>E819/$K$1</f>
        <v>1.6318313968530277E-3</v>
      </c>
      <c r="G819" s="5">
        <f t="shared" si="25"/>
        <v>101324.99999857435</v>
      </c>
    </row>
    <row r="820" spans="1:7" x14ac:dyDescent="0.25">
      <c r="A820">
        <v>3218</v>
      </c>
      <c r="B820" s="3">
        <v>0</v>
      </c>
      <c r="C820" s="3">
        <f>B820*$K$4</f>
        <v>0</v>
      </c>
      <c r="D820" s="3">
        <f>(E819/$K$1)*$K$2*1</f>
        <v>1.060690407954468E-4</v>
      </c>
      <c r="E820" s="3">
        <f t="shared" si="24"/>
        <v>1.3057914837617927E-2</v>
      </c>
      <c r="F820" s="3">
        <f>E820/$K$1</f>
        <v>1.6186828855358779E-3</v>
      </c>
      <c r="G820" s="5">
        <f t="shared" si="25"/>
        <v>101324.99999857435</v>
      </c>
    </row>
    <row r="821" spans="1:7" x14ac:dyDescent="0.25">
      <c r="A821">
        <v>3219</v>
      </c>
      <c r="B821" s="3">
        <v>0</v>
      </c>
      <c r="C821" s="3">
        <f>B821*$K$4</f>
        <v>0</v>
      </c>
      <c r="D821" s="3">
        <f>(E820/$K$1)*$K$2*1</f>
        <v>1.0521438755983207E-4</v>
      </c>
      <c r="E821" s="3">
        <f t="shared" si="24"/>
        <v>1.2952700450058094E-2</v>
      </c>
      <c r="F821" s="3">
        <f>E821/$K$1</f>
        <v>1.6056403185890783E-3</v>
      </c>
      <c r="G821" s="5">
        <f t="shared" si="25"/>
        <v>101324.99999857435</v>
      </c>
    </row>
    <row r="822" spans="1:7" x14ac:dyDescent="0.25">
      <c r="A822">
        <v>3220</v>
      </c>
      <c r="B822" s="3">
        <v>0</v>
      </c>
      <c r="C822" s="3">
        <f>B822*$K$4</f>
        <v>0</v>
      </c>
      <c r="D822" s="3">
        <f>(E821/$K$1)*$K$2*1</f>
        <v>1.0436662070829009E-4</v>
      </c>
      <c r="E822" s="3">
        <f t="shared" si="24"/>
        <v>1.2848333829349804E-2</v>
      </c>
      <c r="F822" s="3">
        <f>E822/$K$1</f>
        <v>1.5927028423639276E-3</v>
      </c>
      <c r="G822" s="5">
        <f t="shared" si="25"/>
        <v>101324.99999857435</v>
      </c>
    </row>
    <row r="823" spans="1:7" x14ac:dyDescent="0.25">
      <c r="A823">
        <v>3221</v>
      </c>
      <c r="B823" s="3">
        <v>0</v>
      </c>
      <c r="C823" s="3">
        <f>B823*$K$4</f>
        <v>0</v>
      </c>
      <c r="D823" s="3">
        <f>(E822/$K$1)*$K$2*1</f>
        <v>1.035256847536553E-4</v>
      </c>
      <c r="E823" s="3">
        <f t="shared" si="24"/>
        <v>1.2744808144596149E-2</v>
      </c>
      <c r="F823" s="3">
        <f>E823/$K$1</f>
        <v>1.5798696100900148E-3</v>
      </c>
      <c r="G823" s="5">
        <f t="shared" si="25"/>
        <v>101324.99999857435</v>
      </c>
    </row>
    <row r="824" spans="1:7" x14ac:dyDescent="0.25">
      <c r="A824">
        <v>3222</v>
      </c>
      <c r="B824" s="3">
        <v>0</v>
      </c>
      <c r="C824" s="3">
        <f>B824*$K$4</f>
        <v>0</v>
      </c>
      <c r="D824" s="3">
        <f>(E823/$K$1)*$K$2*1</f>
        <v>1.0269152465585096E-4</v>
      </c>
      <c r="E824" s="3">
        <f t="shared" si="24"/>
        <v>1.2642116619940299E-2</v>
      </c>
      <c r="F824" s="3">
        <f>E824/$K$1</f>
        <v>1.5671397818197966E-3</v>
      </c>
      <c r="G824" s="5">
        <f t="shared" si="25"/>
        <v>101324.99999857435</v>
      </c>
    </row>
    <row r="825" spans="1:7" x14ac:dyDescent="0.25">
      <c r="A825">
        <v>3223</v>
      </c>
      <c r="B825" s="3">
        <v>0</v>
      </c>
      <c r="C825" s="3">
        <f>B825*$K$4</f>
        <v>0</v>
      </c>
      <c r="D825" s="3">
        <f>(E824/$K$1)*$K$2*1</f>
        <v>1.0186408581828678E-4</v>
      </c>
      <c r="E825" s="3">
        <f t="shared" si="24"/>
        <v>1.2540252534122012E-2</v>
      </c>
      <c r="F825" s="3">
        <f>E825/$K$1</f>
        <v>1.5545125243736225E-3</v>
      </c>
      <c r="G825" s="5">
        <f t="shared" si="25"/>
        <v>101324.99999857435</v>
      </c>
    </row>
    <row r="826" spans="1:7" x14ac:dyDescent="0.25">
      <c r="A826">
        <v>3224</v>
      </c>
      <c r="B826" s="3">
        <v>0</v>
      </c>
      <c r="C826" s="3">
        <f>B826*$K$4</f>
        <v>0</v>
      </c>
      <c r="D826" s="3">
        <f>(E825/$K$1)*$K$2*1</f>
        <v>1.0104331408428546E-4</v>
      </c>
      <c r="E826" s="3">
        <f t="shared" si="24"/>
        <v>1.2439209220037727E-2</v>
      </c>
      <c r="F826" s="3">
        <f>E826/$K$1</f>
        <v>1.5419870112852022E-3</v>
      </c>
      <c r="G826" s="5">
        <f t="shared" si="25"/>
        <v>101324.99999857435</v>
      </c>
    </row>
    <row r="827" spans="1:7" x14ac:dyDescent="0.25">
      <c r="A827">
        <v>3225</v>
      </c>
      <c r="B827" s="3">
        <v>0</v>
      </c>
      <c r="C827" s="3">
        <f>B827*$K$4</f>
        <v>0</v>
      </c>
      <c r="D827" s="3">
        <f>(E826/$K$1)*$K$2*1</f>
        <v>1.0022915573353814E-4</v>
      </c>
      <c r="E827" s="3">
        <f t="shared" si="24"/>
        <v>1.233898006430419E-2</v>
      </c>
      <c r="F827" s="3">
        <f>E827/$K$1</f>
        <v>1.5295624227475134E-3</v>
      </c>
      <c r="G827" s="5">
        <f t="shared" si="25"/>
        <v>101324.99999857435</v>
      </c>
    </row>
    <row r="828" spans="1:7" x14ac:dyDescent="0.25">
      <c r="A828">
        <v>3226</v>
      </c>
      <c r="B828" s="3">
        <v>0</v>
      </c>
      <c r="C828" s="3">
        <f>B828*$K$4</f>
        <v>0</v>
      </c>
      <c r="D828" s="3">
        <f>(E827/$K$1)*$K$2*1</f>
        <v>9.9421557478588366E-5</v>
      </c>
      <c r="E828" s="3">
        <f t="shared" si="24"/>
        <v>1.2239558506825602E-2</v>
      </c>
      <c r="F828" s="3">
        <f>E828/$K$1</f>
        <v>1.5172379455591423E-3</v>
      </c>
      <c r="G828" s="5">
        <f t="shared" si="25"/>
        <v>101324.99999857435</v>
      </c>
    </row>
    <row r="829" spans="1:7" x14ac:dyDescent="0.25">
      <c r="A829">
        <v>3227</v>
      </c>
      <c r="B829" s="3">
        <v>0</v>
      </c>
      <c r="C829" s="3">
        <f>B829*$K$4</f>
        <v>0</v>
      </c>
      <c r="D829" s="3">
        <f>(E828/$K$1)*$K$2*1</f>
        <v>9.8620466461344256E-5</v>
      </c>
      <c r="E829" s="3">
        <f t="shared" si="24"/>
        <v>1.2140938040364257E-2</v>
      </c>
      <c r="F829" s="3">
        <f>E829/$K$1</f>
        <v>1.505012773071062E-3</v>
      </c>
      <c r="G829" s="5">
        <f t="shared" si="25"/>
        <v>101324.99999857435</v>
      </c>
    </row>
    <row r="830" spans="1:7" x14ac:dyDescent="0.25">
      <c r="A830">
        <v>3228</v>
      </c>
      <c r="B830" s="3">
        <v>0</v>
      </c>
      <c r="C830" s="3">
        <f>B830*$K$4</f>
        <v>0</v>
      </c>
      <c r="D830" s="3">
        <f>(E829/$K$1)*$K$2*1</f>
        <v>9.7825830249619034E-5</v>
      </c>
      <c r="E830" s="3">
        <f t="shared" si="24"/>
        <v>1.2043112210114639E-2</v>
      </c>
      <c r="F830" s="3">
        <f>E830/$K$1</f>
        <v>1.4928861051338341E-3</v>
      </c>
      <c r="G830" s="5">
        <f t="shared" si="25"/>
        <v>101324.99999857435</v>
      </c>
    </row>
    <row r="831" spans="1:7" x14ac:dyDescent="0.25">
      <c r="A831">
        <v>3229</v>
      </c>
      <c r="B831" s="3">
        <v>0</v>
      </c>
      <c r="C831" s="3">
        <f>B831*$K$4</f>
        <v>0</v>
      </c>
      <c r="D831" s="3">
        <f>(E830/$K$1)*$K$2*1</f>
        <v>9.7037596833699215E-5</v>
      </c>
      <c r="E831" s="3">
        <f t="shared" si="24"/>
        <v>1.1946074613280939E-2</v>
      </c>
      <c r="F831" s="3">
        <f>E831/$K$1</f>
        <v>1.4808571480452385E-3</v>
      </c>
      <c r="G831" s="5">
        <f t="shared" si="25"/>
        <v>101324.99999857435</v>
      </c>
    </row>
    <row r="832" spans="1:7" x14ac:dyDescent="0.25">
      <c r="A832">
        <v>3230</v>
      </c>
      <c r="B832" s="3">
        <v>0</v>
      </c>
      <c r="C832" s="3">
        <f>B832*$K$4</f>
        <v>0</v>
      </c>
      <c r="D832" s="3">
        <f>(E831/$K$1)*$K$2*1</f>
        <v>9.6255714622940514E-5</v>
      </c>
      <c r="E832" s="3">
        <f t="shared" si="24"/>
        <v>1.1849818898657999E-2</v>
      </c>
      <c r="F832" s="3">
        <f>E832/$K$1</f>
        <v>1.4689251144983262E-3</v>
      </c>
      <c r="G832" s="5">
        <f t="shared" si="25"/>
        <v>101324.99999857435</v>
      </c>
    </row>
    <row r="833" spans="1:7" x14ac:dyDescent="0.25">
      <c r="A833">
        <v>3231</v>
      </c>
      <c r="B833" s="3">
        <v>0</v>
      </c>
      <c r="C833" s="3">
        <f>B833*$K$4</f>
        <v>0</v>
      </c>
      <c r="D833" s="3">
        <f>(E832/$K$1)*$K$2*1</f>
        <v>9.5480132442391202E-5</v>
      </c>
      <c r="E833" s="3">
        <f t="shared" si="24"/>
        <v>1.1754338766215608E-2</v>
      </c>
      <c r="F833" s="3">
        <f>E833/$K$1</f>
        <v>1.4570892235298881E-3</v>
      </c>
      <c r="G833" s="5">
        <f t="shared" si="25"/>
        <v>101324.99999857435</v>
      </c>
    </row>
    <row r="834" spans="1:7" x14ac:dyDescent="0.25">
      <c r="A834">
        <v>3232</v>
      </c>
      <c r="B834" s="3">
        <v>0</v>
      </c>
      <c r="C834" s="3">
        <f>B834*$K$4</f>
        <v>0</v>
      </c>
      <c r="D834" s="3">
        <f>(E833/$K$1)*$K$2*1</f>
        <v>9.4710799529442726E-5</v>
      </c>
      <c r="E834" s="3">
        <f t="shared" si="24"/>
        <v>1.1659627966686166E-2</v>
      </c>
      <c r="F834" s="3">
        <f>E834/$K$1</f>
        <v>1.44534870046934E-3</v>
      </c>
      <c r="G834" s="5">
        <f t="shared" si="25"/>
        <v>101324.99999857435</v>
      </c>
    </row>
    <row r="835" spans="1:7" x14ac:dyDescent="0.25">
      <c r="A835">
        <v>3233</v>
      </c>
      <c r="B835" s="3">
        <v>0</v>
      </c>
      <c r="C835" s="3">
        <f>B835*$K$4</f>
        <v>0</v>
      </c>
      <c r="D835" s="3">
        <f>(E834/$K$1)*$K$2*1</f>
        <v>9.3947665530507102E-5</v>
      </c>
      <c r="E835" s="3">
        <f t="shared" si="24"/>
        <v>1.1565680301155658E-2</v>
      </c>
      <c r="F835" s="3">
        <f>E835/$K$1</f>
        <v>1.4337027768880201E-3</v>
      </c>
      <c r="G835" s="5">
        <f t="shared" si="25"/>
        <v>101324.99999857435</v>
      </c>
    </row>
    <row r="836" spans="1:7" x14ac:dyDescent="0.25">
      <c r="A836">
        <v>3234</v>
      </c>
      <c r="B836" s="3">
        <v>0</v>
      </c>
      <c r="C836" s="3">
        <f>B836*$K$4</f>
        <v>0</v>
      </c>
      <c r="D836" s="3">
        <f>(E835/$K$1)*$K$2*1</f>
        <v>9.3190680497721304E-5</v>
      </c>
      <c r="E836" s="3">
        <f t="shared" ref="E836:E899" si="26">E835+C836-D836</f>
        <v>1.1472489620657937E-2</v>
      </c>
      <c r="F836" s="3">
        <f>E836/$K$1</f>
        <v>1.422150690548895E-3</v>
      </c>
      <c r="G836" s="5">
        <f t="shared" ref="G836:G899" si="27">G835+C836-$K$5*$K$9*SQRT(MAX(0,2*$K$6*(G835-$K$11)))</f>
        <v>101324.99999857435</v>
      </c>
    </row>
    <row r="837" spans="1:7" x14ac:dyDescent="0.25">
      <c r="A837">
        <v>3235</v>
      </c>
      <c r="B837" s="3">
        <v>0</v>
      </c>
      <c r="C837" s="3">
        <f>B837*$K$4</f>
        <v>0</v>
      </c>
      <c r="D837" s="3">
        <f>(E836/$K$1)*$K$2*1</f>
        <v>9.2439794885678181E-5</v>
      </c>
      <c r="E837" s="3">
        <f t="shared" si="26"/>
        <v>1.1380049825772259E-2</v>
      </c>
      <c r="F837" s="3">
        <f>E837/$K$1</f>
        <v>1.4106916853566702E-3</v>
      </c>
      <c r="G837" s="5">
        <f t="shared" si="27"/>
        <v>101324.99999857435</v>
      </c>
    </row>
    <row r="838" spans="1:7" x14ac:dyDescent="0.25">
      <c r="A838">
        <v>3236</v>
      </c>
      <c r="B838" s="3">
        <v>0</v>
      </c>
      <c r="C838" s="3">
        <f>B838*$K$4</f>
        <v>0</v>
      </c>
      <c r="D838" s="3">
        <f>(E837/$K$1)*$K$2*1</f>
        <v>9.1694959548183565E-5</v>
      </c>
      <c r="E838" s="3">
        <f t="shared" si="26"/>
        <v>1.1288354866224076E-2</v>
      </c>
      <c r="F838" s="3">
        <f>E838/$K$1</f>
        <v>1.3993250113083025E-3</v>
      </c>
      <c r="G838" s="5">
        <f t="shared" si="27"/>
        <v>101324.99999857435</v>
      </c>
    </row>
    <row r="839" spans="1:7" x14ac:dyDescent="0.25">
      <c r="A839">
        <v>3237</v>
      </c>
      <c r="B839" s="3">
        <v>0</v>
      </c>
      <c r="C839" s="3">
        <f>B839*$K$4</f>
        <v>0</v>
      </c>
      <c r="D839" s="3">
        <f>(E838/$K$1)*$K$2*1</f>
        <v>9.0956125735039664E-5</v>
      </c>
      <c r="E839" s="3">
        <f t="shared" si="26"/>
        <v>1.1197398740489035E-2</v>
      </c>
      <c r="F839" s="3">
        <f>E839/$K$1</f>
        <v>1.3880499244439115E-3</v>
      </c>
      <c r="G839" s="5">
        <f t="shared" si="27"/>
        <v>101324.99999857435</v>
      </c>
    </row>
    <row r="840" spans="1:7" x14ac:dyDescent="0.25">
      <c r="A840">
        <v>3238</v>
      </c>
      <c r="B840" s="3">
        <v>0</v>
      </c>
      <c r="C840" s="3">
        <f>B840*$K$4</f>
        <v>0</v>
      </c>
      <c r="D840" s="3">
        <f>(E839/$K$1)*$K$2*1</f>
        <v>9.0223245088854248E-5</v>
      </c>
      <c r="E840" s="3">
        <f t="shared" si="26"/>
        <v>1.1107175495400181E-2</v>
      </c>
      <c r="F840" s="3">
        <f>E840/$K$1</f>
        <v>1.3768656867980886E-3</v>
      </c>
      <c r="G840" s="5">
        <f t="shared" si="27"/>
        <v>101324.99999857435</v>
      </c>
    </row>
    <row r="841" spans="1:7" x14ac:dyDescent="0.25">
      <c r="A841">
        <v>3239</v>
      </c>
      <c r="B841" s="3">
        <v>0</v>
      </c>
      <c r="C841" s="3">
        <f>B841*$K$4</f>
        <v>0</v>
      </c>
      <c r="D841" s="3">
        <f>(E840/$K$1)*$K$2*1</f>
        <v>8.9496269641875761E-5</v>
      </c>
      <c r="E841" s="3">
        <f t="shared" si="26"/>
        <v>1.1017679225758305E-2</v>
      </c>
      <c r="F841" s="3">
        <f>E841/$K$1</f>
        <v>1.3657715663515934E-3</v>
      </c>
      <c r="G841" s="5">
        <f t="shared" si="27"/>
        <v>101324.99999857435</v>
      </c>
    </row>
    <row r="842" spans="1:7" x14ac:dyDescent="0.25">
      <c r="A842">
        <v>3240</v>
      </c>
      <c r="B842" s="3">
        <v>0</v>
      </c>
      <c r="C842" s="3">
        <f>B842*$K$4</f>
        <v>0</v>
      </c>
      <c r="D842" s="3">
        <f>(E841/$K$1)*$K$2*1</f>
        <v>8.8775151812853578E-5</v>
      </c>
      <c r="E842" s="3">
        <f t="shared" si="26"/>
        <v>1.0928904073945452E-2</v>
      </c>
      <c r="F842" s="3">
        <f>E842/$K$1</f>
        <v>1.3547668369834451E-3</v>
      </c>
      <c r="G842" s="5">
        <f t="shared" si="27"/>
        <v>101324.99999857435</v>
      </c>
    </row>
    <row r="843" spans="1:7" x14ac:dyDescent="0.25">
      <c r="A843">
        <v>3241</v>
      </c>
      <c r="B843" s="3">
        <v>0</v>
      </c>
      <c r="C843" s="3">
        <f>B843*$K$4</f>
        <v>0</v>
      </c>
      <c r="D843" s="3">
        <f>(E842/$K$1)*$K$2*1</f>
        <v>8.8059844403923931E-5</v>
      </c>
      <c r="E843" s="3">
        <f t="shared" si="26"/>
        <v>1.0840844229541529E-2</v>
      </c>
      <c r="F843" s="3">
        <f>E843/$K$1</f>
        <v>1.3438507784233951E-3</v>
      </c>
      <c r="G843" s="5">
        <f t="shared" si="27"/>
        <v>101324.99999857435</v>
      </c>
    </row>
    <row r="844" spans="1:7" x14ac:dyDescent="0.25">
      <c r="A844">
        <v>3242</v>
      </c>
      <c r="B844" s="3">
        <v>0</v>
      </c>
      <c r="C844" s="3">
        <f>B844*$K$4</f>
        <v>0</v>
      </c>
      <c r="D844" s="3">
        <f>(E843/$K$1)*$K$2*1</f>
        <v>8.7350300597520693E-5</v>
      </c>
      <c r="E844" s="3">
        <f t="shared" si="26"/>
        <v>1.0753493928944008E-2</v>
      </c>
      <c r="F844" s="3">
        <f>E844/$K$1</f>
        <v>1.3330226762047859E-3</v>
      </c>
      <c r="G844" s="5">
        <f t="shared" si="27"/>
        <v>101324.99999857435</v>
      </c>
    </row>
    <row r="845" spans="1:7" x14ac:dyDescent="0.25">
      <c r="A845">
        <v>3243</v>
      </c>
      <c r="B845" s="3">
        <v>0</v>
      </c>
      <c r="C845" s="3">
        <f>B845*$K$4</f>
        <v>0</v>
      </c>
      <c r="D845" s="3">
        <f>(E844/$K$1)*$K$2*1</f>
        <v>8.6646473953311083E-5</v>
      </c>
      <c r="E845" s="3">
        <f t="shared" si="26"/>
        <v>1.0666847454990696E-2</v>
      </c>
      <c r="F845" s="3">
        <f>E845/$K$1</f>
        <v>1.3222818216177879E-3</v>
      </c>
      <c r="G845" s="5">
        <f t="shared" si="27"/>
        <v>101324.99999857435</v>
      </c>
    </row>
    <row r="846" spans="1:7" x14ac:dyDescent="0.25">
      <c r="A846">
        <v>3244</v>
      </c>
      <c r="B846" s="3">
        <v>0</v>
      </c>
      <c r="C846" s="3">
        <f>B846*$K$4</f>
        <v>0</v>
      </c>
      <c r="D846" s="3">
        <f>(E845/$K$1)*$K$2*1</f>
        <v>8.5948318405156216E-5</v>
      </c>
      <c r="E846" s="3">
        <f t="shared" si="26"/>
        <v>1.0580899136585539E-2</v>
      </c>
      <c r="F846" s="3">
        <f>E846/$K$1</f>
        <v>1.3116275116630146E-3</v>
      </c>
      <c r="G846" s="5">
        <f t="shared" si="27"/>
        <v>101324.99999857435</v>
      </c>
    </row>
    <row r="847" spans="1:7" x14ac:dyDescent="0.25">
      <c r="A847">
        <v>3245</v>
      </c>
      <c r="B847" s="3">
        <v>0</v>
      </c>
      <c r="C847" s="3">
        <f>B847*$K$4</f>
        <v>0</v>
      </c>
      <c r="D847" s="3">
        <f>(E846/$K$1)*$K$2*1</f>
        <v>8.5255788258095945E-5</v>
      </c>
      <c r="E847" s="3">
        <f t="shared" si="26"/>
        <v>1.0495643348327444E-2</v>
      </c>
      <c r="F847" s="3">
        <f>E847/$K$1</f>
        <v>1.3010590490055093E-3</v>
      </c>
      <c r="G847" s="5">
        <f t="shared" si="27"/>
        <v>101324.99999857435</v>
      </c>
    </row>
    <row r="848" spans="1:7" x14ac:dyDescent="0.25">
      <c r="A848">
        <v>3246</v>
      </c>
      <c r="B848" s="3">
        <v>0</v>
      </c>
      <c r="C848" s="3">
        <f>B848*$K$4</f>
        <v>0</v>
      </c>
      <c r="D848" s="3">
        <f>(E847/$K$1)*$K$2*1</f>
        <v>8.456883818535811E-5</v>
      </c>
      <c r="E848" s="3">
        <f t="shared" si="26"/>
        <v>1.0411074510142086E-2</v>
      </c>
      <c r="F848" s="3">
        <f>E848/$K$1</f>
        <v>1.2905757419291045E-3</v>
      </c>
      <c r="G848" s="5">
        <f t="shared" si="27"/>
        <v>101324.99999857435</v>
      </c>
    </row>
    <row r="849" spans="1:7" x14ac:dyDescent="0.25">
      <c r="A849">
        <v>3247</v>
      </c>
      <c r="B849" s="3">
        <v>0</v>
      </c>
      <c r="C849" s="3">
        <f>B849*$K$4</f>
        <v>0</v>
      </c>
      <c r="D849" s="3">
        <f>(E848/$K$1)*$K$2*1</f>
        <v>8.388742322539179E-5</v>
      </c>
      <c r="E849" s="3">
        <f t="shared" si="26"/>
        <v>1.0327187086916694E-2</v>
      </c>
      <c r="F849" s="3">
        <f>E849/$K$1</f>
        <v>1.2801769042911483E-3</v>
      </c>
      <c r="G849" s="5">
        <f t="shared" si="27"/>
        <v>101324.99999857435</v>
      </c>
    </row>
    <row r="850" spans="1:7" x14ac:dyDescent="0.25">
      <c r="A850">
        <v>3248</v>
      </c>
      <c r="B850" s="3">
        <v>0</v>
      </c>
      <c r="C850" s="3">
        <f>B850*$K$4</f>
        <v>0</v>
      </c>
      <c r="D850" s="3">
        <f>(E849/$K$1)*$K$2*1</f>
        <v>8.3211498778924643E-5</v>
      </c>
      <c r="E850" s="3">
        <f t="shared" si="26"/>
        <v>1.024397558813777E-2</v>
      </c>
      <c r="F850" s="3">
        <f>E850/$K$1</f>
        <v>1.2698618554775963E-3</v>
      </c>
      <c r="G850" s="5">
        <f t="shared" si="27"/>
        <v>101324.99999857435</v>
      </c>
    </row>
    <row r="851" spans="1:7" x14ac:dyDescent="0.25">
      <c r="A851">
        <v>3249</v>
      </c>
      <c r="B851" s="3">
        <v>0</v>
      </c>
      <c r="C851" s="3">
        <f>B851*$K$4</f>
        <v>0</v>
      </c>
      <c r="D851" s="3">
        <f>(E850/$K$1)*$K$2*1</f>
        <v>8.2541020606043762E-5</v>
      </c>
      <c r="E851" s="3">
        <f t="shared" si="26"/>
        <v>1.0161434567531727E-2</v>
      </c>
      <c r="F851" s="3">
        <f>E851/$K$1</f>
        <v>1.2596299203584637E-3</v>
      </c>
      <c r="G851" s="5">
        <f t="shared" si="27"/>
        <v>101324.99999857435</v>
      </c>
    </row>
    <row r="852" spans="1:7" x14ac:dyDescent="0.25">
      <c r="A852">
        <v>3250</v>
      </c>
      <c r="B852" s="3">
        <v>0</v>
      </c>
      <c r="C852" s="3">
        <f>B852*$K$4</f>
        <v>0</v>
      </c>
      <c r="D852" s="3">
        <f>(E851/$K$1)*$K$2*1</f>
        <v>8.1875944823300135E-5</v>
      </c>
      <c r="E852" s="3">
        <f t="shared" si="26"/>
        <v>1.0079558622708427E-2</v>
      </c>
      <c r="F852" s="3">
        <f>E852/$K$1</f>
        <v>1.2494804292436379E-3</v>
      </c>
      <c r="G852" s="5">
        <f t="shared" si="27"/>
        <v>101324.99999857435</v>
      </c>
    </row>
    <row r="853" spans="1:7" x14ac:dyDescent="0.25">
      <c r="A853">
        <v>3251</v>
      </c>
      <c r="B853" s="3">
        <v>0</v>
      </c>
      <c r="C853" s="3">
        <f>B853*$K$4</f>
        <v>0</v>
      </c>
      <c r="D853" s="3">
        <f>(E852/$K$1)*$K$2*1</f>
        <v>8.1216227900836471E-5</v>
      </c>
      <c r="E853" s="3">
        <f t="shared" si="26"/>
        <v>9.9983423948075915E-3</v>
      </c>
      <c r="F853" s="3">
        <f>E853/$K$1</f>
        <v>1.239412717839047E-3</v>
      </c>
      <c r="G853" s="5">
        <f t="shared" si="27"/>
        <v>101324.99999857435</v>
      </c>
    </row>
    <row r="854" spans="1:7" x14ac:dyDescent="0.25">
      <c r="A854">
        <v>3252</v>
      </c>
      <c r="B854" s="3">
        <v>0</v>
      </c>
      <c r="C854" s="3">
        <f>B854*$K$4</f>
        <v>0</v>
      </c>
      <c r="D854" s="3">
        <f>(E853/$K$1)*$K$2*1</f>
        <v>8.0561826659538053E-5</v>
      </c>
      <c r="E854" s="3">
        <f t="shared" si="26"/>
        <v>9.9177805681480539E-3</v>
      </c>
      <c r="F854" s="3">
        <f>E854/$K$1</f>
        <v>1.2294261272031801E-3</v>
      </c>
      <c r="G854" s="5">
        <f t="shared" si="27"/>
        <v>101324.99999857435</v>
      </c>
    </row>
    <row r="855" spans="1:7" x14ac:dyDescent="0.25">
      <c r="A855">
        <v>3253</v>
      </c>
      <c r="B855" s="3">
        <v>0</v>
      </c>
      <c r="C855" s="3">
        <f>B855*$K$4</f>
        <v>0</v>
      </c>
      <c r="D855" s="3">
        <f>(E854/$K$1)*$K$2*1</f>
        <v>7.9912698268206714E-5</v>
      </c>
      <c r="E855" s="3">
        <f t="shared" si="26"/>
        <v>9.8378678698798471E-3</v>
      </c>
      <c r="F855" s="3">
        <f>E855/$K$1</f>
        <v>1.2195200037039603E-3</v>
      </c>
      <c r="G855" s="5">
        <f t="shared" si="27"/>
        <v>101324.99999857435</v>
      </c>
    </row>
    <row r="856" spans="1:7" x14ac:dyDescent="0.25">
      <c r="A856">
        <v>3254</v>
      </c>
      <c r="B856" s="3">
        <v>0</v>
      </c>
      <c r="C856" s="3">
        <f>B856*$K$4</f>
        <v>0</v>
      </c>
      <c r="D856" s="3">
        <f>(E855/$K$1)*$K$2*1</f>
        <v>7.9268800240757422E-5</v>
      </c>
      <c r="E856" s="3">
        <f t="shared" si="26"/>
        <v>9.7585990696390894E-3</v>
      </c>
      <c r="F856" s="3">
        <f>E856/$K$1</f>
        <v>1.2096936989759624E-3</v>
      </c>
      <c r="G856" s="5">
        <f t="shared" si="27"/>
        <v>101324.99999857435</v>
      </c>
    </row>
    <row r="857" spans="1:7" x14ac:dyDescent="0.25">
      <c r="A857">
        <v>3255</v>
      </c>
      <c r="B857" s="3">
        <v>0</v>
      </c>
      <c r="C857" s="3">
        <f>B857*$K$4</f>
        <v>0</v>
      </c>
      <c r="D857" s="3">
        <f>(E856/$K$1)*$K$2*1</f>
        <v>7.8630090433437551E-5</v>
      </c>
      <c r="E857" s="3">
        <f t="shared" si="26"/>
        <v>9.6799689792056512E-3</v>
      </c>
      <c r="F857" s="3">
        <f>E857/$K$1</f>
        <v>1.1999465698779783E-3</v>
      </c>
      <c r="G857" s="5">
        <f t="shared" si="27"/>
        <v>101324.99999857435</v>
      </c>
    </row>
    <row r="858" spans="1:7" x14ac:dyDescent="0.25">
      <c r="A858">
        <v>3256</v>
      </c>
      <c r="B858" s="3">
        <v>0</v>
      </c>
      <c r="C858" s="3">
        <f>B858*$K$4</f>
        <v>0</v>
      </c>
      <c r="D858" s="3">
        <f>(E857/$K$1)*$K$2*1</f>
        <v>7.7996527042068588E-5</v>
      </c>
      <c r="E858" s="3">
        <f t="shared" si="26"/>
        <v>9.6019724521635829E-3</v>
      </c>
      <c r="F858" s="3">
        <f>E858/$K$1</f>
        <v>1.1902779784509214E-3</v>
      </c>
      <c r="G858" s="5">
        <f t="shared" si="27"/>
        <v>101324.99999857435</v>
      </c>
    </row>
    <row r="859" spans="1:7" x14ac:dyDescent="0.25">
      <c r="A859">
        <v>3257</v>
      </c>
      <c r="B859" s="3">
        <v>0</v>
      </c>
      <c r="C859" s="3">
        <f>B859*$K$4</f>
        <v>0</v>
      </c>
      <c r="D859" s="3">
        <f>(E858/$K$1)*$K$2*1</f>
        <v>7.7368068599309889E-5</v>
      </c>
      <c r="E859" s="3">
        <f t="shared" si="26"/>
        <v>9.5246043835642731E-3</v>
      </c>
      <c r="F859" s="3">
        <f>E859/$K$1</f>
        <v>1.1806872918760721E-3</v>
      </c>
      <c r="G859" s="5">
        <f t="shared" si="27"/>
        <v>101324.99999857435</v>
      </c>
    </row>
    <row r="860" spans="1:7" x14ac:dyDescent="0.25">
      <c r="A860">
        <v>3258</v>
      </c>
      <c r="B860" s="3">
        <v>0</v>
      </c>
      <c r="C860" s="3">
        <f>B860*$K$4</f>
        <v>0</v>
      </c>
      <c r="D860" s="3">
        <f>(E859/$K$1)*$K$2*1</f>
        <v>7.6744673971944683E-5</v>
      </c>
      <c r="E860" s="3">
        <f t="shared" si="26"/>
        <v>9.4478597095923288E-3</v>
      </c>
      <c r="F860" s="3">
        <f>E860/$K$1</f>
        <v>1.1711738824336591E-3</v>
      </c>
      <c r="G860" s="5">
        <f t="shared" si="27"/>
        <v>101324.99999857435</v>
      </c>
    </row>
    <row r="861" spans="1:7" x14ac:dyDescent="0.25">
      <c r="A861">
        <v>3259</v>
      </c>
      <c r="B861" s="3">
        <v>0</v>
      </c>
      <c r="C861" s="3">
        <f>B861*$K$4</f>
        <v>0</v>
      </c>
      <c r="D861" s="3">
        <f>(E860/$K$1)*$K$2*1</f>
        <v>7.612630235818784E-5</v>
      </c>
      <c r="E861" s="3">
        <f t="shared" si="26"/>
        <v>9.3717334072341407E-3</v>
      </c>
      <c r="F861" s="3">
        <f>E861/$K$1</f>
        <v>1.1617371274617752E-3</v>
      </c>
      <c r="G861" s="5">
        <f t="shared" si="27"/>
        <v>101324.99999857435</v>
      </c>
    </row>
    <row r="862" spans="1:7" x14ac:dyDescent="0.25">
      <c r="A862">
        <v>3260</v>
      </c>
      <c r="B862" s="3">
        <v>0</v>
      </c>
      <c r="C862" s="3">
        <f>B862*$K$4</f>
        <v>0</v>
      </c>
      <c r="D862" s="3">
        <f>(E861/$K$1)*$K$2*1</f>
        <v>7.5512913285015395E-5</v>
      </c>
      <c r="E862" s="3">
        <f t="shared" si="26"/>
        <v>9.2962204939491255E-3</v>
      </c>
      <c r="F862" s="3">
        <f>E862/$K$1</f>
        <v>1.1523764093156223E-3</v>
      </c>
      <c r="G862" s="5">
        <f t="shared" si="27"/>
        <v>101324.99999857435</v>
      </c>
    </row>
    <row r="863" spans="1:7" x14ac:dyDescent="0.25">
      <c r="A863">
        <v>3261</v>
      </c>
      <c r="B863" s="3">
        <v>0</v>
      </c>
      <c r="C863" s="3">
        <f>B863*$K$4</f>
        <v>0</v>
      </c>
      <c r="D863" s="3">
        <f>(E862/$K$1)*$K$2*1</f>
        <v>7.4904466605515456E-5</v>
      </c>
      <c r="E863" s="3">
        <f t="shared" si="26"/>
        <v>9.2213160273436102E-3</v>
      </c>
      <c r="F863" s="3">
        <f>E863/$K$1</f>
        <v>1.1430911153270868E-3</v>
      </c>
      <c r="G863" s="5">
        <f t="shared" si="27"/>
        <v>101324.99999857435</v>
      </c>
    </row>
    <row r="864" spans="1:7" x14ac:dyDescent="0.25">
      <c r="A864">
        <v>3262</v>
      </c>
      <c r="B864" s="3">
        <v>0</v>
      </c>
      <c r="C864" s="3">
        <f>B864*$K$4</f>
        <v>0</v>
      </c>
      <c r="D864" s="3">
        <f>(E863/$K$1)*$K$2*1</f>
        <v>7.4300922496260645E-5</v>
      </c>
      <c r="E864" s="3">
        <f t="shared" si="26"/>
        <v>9.1470151048473492E-3</v>
      </c>
      <c r="F864" s="3">
        <f>E864/$K$1</f>
        <v>1.1338806377646398E-3</v>
      </c>
      <c r="G864" s="5">
        <f t="shared" si="27"/>
        <v>101324.99999857435</v>
      </c>
    </row>
    <row r="865" spans="1:7" x14ac:dyDescent="0.25">
      <c r="A865">
        <v>3263</v>
      </c>
      <c r="B865" s="3">
        <v>0</v>
      </c>
      <c r="C865" s="3">
        <f>B865*$K$4</f>
        <v>0</v>
      </c>
      <c r="D865" s="3">
        <f>(E864/$K$1)*$K$2*1</f>
        <v>7.370224145470159E-5</v>
      </c>
      <c r="E865" s="3">
        <f t="shared" si="26"/>
        <v>9.0733128633926474E-3</v>
      </c>
      <c r="F865" s="3">
        <f>E865/$K$1</f>
        <v>1.1247443737935599E-3</v>
      </c>
      <c r="G865" s="5">
        <f t="shared" si="27"/>
        <v>101324.99999857435</v>
      </c>
    </row>
    <row r="866" spans="1:7" x14ac:dyDescent="0.25">
      <c r="A866">
        <v>3264</v>
      </c>
      <c r="B866" s="3">
        <v>0</v>
      </c>
      <c r="C866" s="3">
        <f>B866*$K$4</f>
        <v>0</v>
      </c>
      <c r="D866" s="3">
        <f>(E865/$K$1)*$K$2*1</f>
        <v>7.3108384296581393E-5</v>
      </c>
      <c r="E866" s="3">
        <f t="shared" si="26"/>
        <v>9.0002044790960661E-3</v>
      </c>
      <c r="F866" s="3">
        <f>E866/$K$1</f>
        <v>1.1156817254364777E-3</v>
      </c>
      <c r="G866" s="5">
        <f t="shared" si="27"/>
        <v>101324.99999857435</v>
      </c>
    </row>
    <row r="867" spans="1:7" x14ac:dyDescent="0.25">
      <c r="A867">
        <v>3265</v>
      </c>
      <c r="B867" s="3">
        <v>0</v>
      </c>
      <c r="C867" s="3">
        <f>B867*$K$4</f>
        <v>0</v>
      </c>
      <c r="D867" s="3">
        <f>(E866/$K$1)*$K$2*1</f>
        <v>7.2519312153371051E-5</v>
      </c>
      <c r="E867" s="3">
        <f t="shared" si="26"/>
        <v>8.9276851669426952E-3</v>
      </c>
      <c r="F867" s="3">
        <f>E867/$K$1</f>
        <v>1.1066920995342377E-3</v>
      </c>
      <c r="G867" s="5">
        <f t="shared" si="27"/>
        <v>101324.99999857435</v>
      </c>
    </row>
    <row r="868" spans="1:7" x14ac:dyDescent="0.25">
      <c r="A868">
        <v>3266</v>
      </c>
      <c r="B868" s="3">
        <v>0</v>
      </c>
      <c r="C868" s="3">
        <f>B868*$K$4</f>
        <v>0</v>
      </c>
      <c r="D868" s="3">
        <f>(E867/$K$1)*$K$2*1</f>
        <v>7.1934986469725451E-5</v>
      </c>
      <c r="E868" s="3">
        <f t="shared" si="26"/>
        <v>8.8557501804729689E-3</v>
      </c>
      <c r="F868" s="3">
        <f>E868/$K$1</f>
        <v>1.0977749077070744E-3</v>
      </c>
      <c r="G868" s="5">
        <f t="shared" si="27"/>
        <v>101324.99999857435</v>
      </c>
    </row>
    <row r="869" spans="1:7" x14ac:dyDescent="0.25">
      <c r="A869">
        <v>3267</v>
      </c>
      <c r="B869" s="3">
        <v>0</v>
      </c>
      <c r="C869" s="3">
        <f>B869*$K$4</f>
        <v>0</v>
      </c>
      <c r="D869" s="3">
        <f>(E868/$K$1)*$K$2*1</f>
        <v>7.135536900095983E-5</v>
      </c>
      <c r="E869" s="3">
        <f t="shared" si="26"/>
        <v>8.7843948114720086E-3</v>
      </c>
      <c r="F869" s="3">
        <f>E869/$K$1</f>
        <v>1.0889295663161036E-3</v>
      </c>
      <c r="G869" s="5">
        <f t="shared" si="27"/>
        <v>101324.99999857435</v>
      </c>
    </row>
    <row r="870" spans="1:7" x14ac:dyDescent="0.25">
      <c r="A870">
        <v>3268</v>
      </c>
      <c r="B870" s="3">
        <v>0</v>
      </c>
      <c r="C870" s="3">
        <f>B870*$K$4</f>
        <v>0</v>
      </c>
      <c r="D870" s="3">
        <f>(E869/$K$1)*$K$2*1</f>
        <v>7.0780421810546734E-5</v>
      </c>
      <c r="E870" s="3">
        <f t="shared" si="26"/>
        <v>8.7136143896614626E-3</v>
      </c>
      <c r="F870" s="3">
        <f>E870/$K$1</f>
        <v>1.0801554964251223E-3</v>
      </c>
      <c r="G870" s="5">
        <f t="shared" si="27"/>
        <v>101324.99999857435</v>
      </c>
    </row>
    <row r="871" spans="1:7" x14ac:dyDescent="0.25">
      <c r="A871">
        <v>3269</v>
      </c>
      <c r="B871" s="3">
        <v>0</v>
      </c>
      <c r="C871" s="3">
        <f>B871*$K$4</f>
        <v>0</v>
      </c>
      <c r="D871" s="3">
        <f>(E870/$K$1)*$K$2*1</f>
        <v>7.0210107267632948E-5</v>
      </c>
      <c r="E871" s="3">
        <f t="shared" si="26"/>
        <v>8.6434042823938292E-3</v>
      </c>
      <c r="F871" s="3">
        <f>E871/$K$1</f>
        <v>1.0714521237627159E-3</v>
      </c>
      <c r="G871" s="5">
        <f t="shared" si="27"/>
        <v>101324.99999857435</v>
      </c>
    </row>
    <row r="872" spans="1:7" x14ac:dyDescent="0.25">
      <c r="A872">
        <v>3270</v>
      </c>
      <c r="B872" s="3">
        <v>0</v>
      </c>
      <c r="C872" s="3">
        <f>B872*$K$4</f>
        <v>0</v>
      </c>
      <c r="D872" s="3">
        <f>(E871/$K$1)*$K$2*1</f>
        <v>6.9644388044576533E-5</v>
      </c>
      <c r="E872" s="3">
        <f t="shared" si="26"/>
        <v>8.5737598943492529E-3</v>
      </c>
      <c r="F872" s="3">
        <f>E872/$K$1</f>
        <v>1.0628188786846724E-3</v>
      </c>
      <c r="G872" s="5">
        <f t="shared" si="27"/>
        <v>101324.99999857435</v>
      </c>
    </row>
    <row r="873" spans="1:7" x14ac:dyDescent="0.25">
      <c r="A873">
        <v>3271</v>
      </c>
      <c r="B873" s="3">
        <v>0</v>
      </c>
      <c r="C873" s="3">
        <f>B873*$K$4</f>
        <v>0</v>
      </c>
      <c r="D873" s="3">
        <f>(E872/$K$1)*$K$2*1</f>
        <v>6.9083227114503706E-5</v>
      </c>
      <c r="E873" s="3">
        <f t="shared" si="26"/>
        <v>8.5046766672347493E-3</v>
      </c>
      <c r="F873" s="3">
        <f>E873/$K$1</f>
        <v>1.0542551961366987E-3</v>
      </c>
      <c r="G873" s="5">
        <f t="shared" si="27"/>
        <v>101324.99999857435</v>
      </c>
    </row>
    <row r="874" spans="1:7" x14ac:dyDescent="0.25">
      <c r="A874">
        <v>3272</v>
      </c>
      <c r="B874" s="3">
        <v>0</v>
      </c>
      <c r="C874" s="3">
        <f>B874*$K$4</f>
        <v>0</v>
      </c>
      <c r="D874" s="3">
        <f>(E873/$K$1)*$K$2*1</f>
        <v>6.8526587748885424E-5</v>
      </c>
      <c r="E874" s="3">
        <f t="shared" si="26"/>
        <v>8.436150079485864E-3</v>
      </c>
      <c r="F874" s="3">
        <f>E874/$K$1</f>
        <v>1.0457605156174369E-3</v>
      </c>
      <c r="G874" s="5">
        <f t="shared" si="27"/>
        <v>101324.99999857435</v>
      </c>
    </row>
    <row r="875" spans="1:7" x14ac:dyDescent="0.25">
      <c r="A875">
        <v>3273</v>
      </c>
      <c r="B875" s="3">
        <v>0</v>
      </c>
      <c r="C875" s="3">
        <f>B875*$K$4</f>
        <v>0</v>
      </c>
      <c r="D875" s="3">
        <f>(E874/$K$1)*$K$2*1</f>
        <v>6.7974433515133402E-5</v>
      </c>
      <c r="E875" s="3">
        <f t="shared" si="26"/>
        <v>8.3681756459707303E-3</v>
      </c>
      <c r="F875" s="3">
        <f>E875/$K$1</f>
        <v>1.0373342811417789E-3</v>
      </c>
      <c r="G875" s="5">
        <f t="shared" si="27"/>
        <v>101324.99999857435</v>
      </c>
    </row>
    <row r="876" spans="1:7" x14ac:dyDescent="0.25">
      <c r="A876">
        <v>3274</v>
      </c>
      <c r="B876" s="3">
        <v>0</v>
      </c>
      <c r="C876" s="3">
        <f>B876*$K$4</f>
        <v>0</v>
      </c>
      <c r="D876" s="3">
        <f>(E875/$K$1)*$K$2*1</f>
        <v>6.7426728274215634E-5</v>
      </c>
      <c r="E876" s="3">
        <f t="shared" si="26"/>
        <v>8.3007489176965144E-3</v>
      </c>
      <c r="F876" s="3">
        <f>E876/$K$1</f>
        <v>1.0289759412044769E-3</v>
      </c>
      <c r="G876" s="5">
        <f t="shared" si="27"/>
        <v>101324.99999857435</v>
      </c>
    </row>
    <row r="877" spans="1:7" x14ac:dyDescent="0.25">
      <c r="A877">
        <v>3275</v>
      </c>
      <c r="B877" s="3">
        <v>0</v>
      </c>
      <c r="C877" s="3">
        <f>B877*$K$4</f>
        <v>0</v>
      </c>
      <c r="D877" s="3">
        <f>(E876/$K$1)*$K$2*1</f>
        <v>6.6883436178290999E-5</v>
      </c>
      <c r="E877" s="3">
        <f t="shared" si="26"/>
        <v>8.2338654815182228E-3</v>
      </c>
      <c r="F877" s="3">
        <f>E877/$K$1</f>
        <v>1.0206849487440464E-3</v>
      </c>
      <c r="G877" s="5">
        <f t="shared" si="27"/>
        <v>101324.99999857435</v>
      </c>
    </row>
    <row r="878" spans="1:7" x14ac:dyDescent="0.25">
      <c r="A878">
        <v>3276</v>
      </c>
      <c r="B878" s="3">
        <v>0</v>
      </c>
      <c r="C878" s="3">
        <f>B878*$K$4</f>
        <v>0</v>
      </c>
      <c r="D878" s="3">
        <f>(E877/$K$1)*$K$2*1</f>
        <v>6.6344521668363021E-5</v>
      </c>
      <c r="E878" s="3">
        <f t="shared" si="26"/>
        <v>8.1675209598498603E-3</v>
      </c>
      <c r="F878" s="3">
        <f>E878/$K$1</f>
        <v>1.0124607611069617E-3</v>
      </c>
      <c r="G878" s="5">
        <f t="shared" si="27"/>
        <v>101324.99999857435</v>
      </c>
    </row>
    <row r="879" spans="1:7" x14ac:dyDescent="0.25">
      <c r="A879">
        <v>3277</v>
      </c>
      <c r="B879" s="3">
        <v>0</v>
      </c>
      <c r="C879" s="3">
        <f>B879*$K$4</f>
        <v>0</v>
      </c>
      <c r="D879" s="3">
        <f>(E878/$K$1)*$K$2*1</f>
        <v>6.580994947195251E-5</v>
      </c>
      <c r="E879" s="3">
        <f t="shared" si="26"/>
        <v>8.1017110103779079E-3</v>
      </c>
      <c r="F879" s="3">
        <f>E879/$K$1</f>
        <v>1.0043028400121368E-3</v>
      </c>
      <c r="G879" s="5">
        <f t="shared" si="27"/>
        <v>101324.99999857435</v>
      </c>
    </row>
    <row r="880" spans="1:7" x14ac:dyDescent="0.25">
      <c r="A880">
        <v>3278</v>
      </c>
      <c r="B880" s="3">
        <v>0</v>
      </c>
      <c r="C880" s="3">
        <f>B880*$K$4</f>
        <v>0</v>
      </c>
      <c r="D880" s="3">
        <f>(E879/$K$1)*$K$2*1</f>
        <v>6.5279684600788896E-5</v>
      </c>
      <c r="E880" s="3">
        <f t="shared" si="26"/>
        <v>8.036431325777119E-3</v>
      </c>
      <c r="F880" s="3">
        <f>E880/$K$1</f>
        <v>9.9621065151569597E-4</v>
      </c>
      <c r="G880" s="5">
        <f t="shared" si="27"/>
        <v>101324.99999857435</v>
      </c>
    </row>
    <row r="881" spans="1:7" x14ac:dyDescent="0.25">
      <c r="A881">
        <v>3279</v>
      </c>
      <c r="B881" s="3">
        <v>0</v>
      </c>
      <c r="C881" s="3">
        <f>B881*$K$4</f>
        <v>0</v>
      </c>
      <c r="D881" s="3">
        <f>(E880/$K$1)*$K$2*1</f>
        <v>6.4753692348520239E-5</v>
      </c>
      <c r="E881" s="3">
        <f t="shared" si="26"/>
        <v>7.9716776334285994E-3</v>
      </c>
      <c r="F881" s="3">
        <f>E881/$K$1</f>
        <v>9.8818366597602575E-4</v>
      </c>
      <c r="G881" s="5">
        <f t="shared" si="27"/>
        <v>101324.99999857435</v>
      </c>
    </row>
    <row r="882" spans="1:7" x14ac:dyDescent="0.25">
      <c r="A882">
        <v>3280</v>
      </c>
      <c r="B882" s="3">
        <v>0</v>
      </c>
      <c r="C882" s="3">
        <f>B882*$K$4</f>
        <v>0</v>
      </c>
      <c r="D882" s="3">
        <f>(E881/$K$1)*$K$2*1</f>
        <v>6.4231938288441669E-5</v>
      </c>
      <c r="E882" s="3">
        <f t="shared" si="26"/>
        <v>7.907445695140158E-3</v>
      </c>
      <c r="F882" s="3">
        <f>E882/$K$1</f>
        <v>9.8022135801910967E-4</v>
      </c>
      <c r="G882" s="5">
        <f t="shared" si="27"/>
        <v>101324.99999857435</v>
      </c>
    </row>
    <row r="883" spans="1:7" x14ac:dyDescent="0.25">
      <c r="A883">
        <v>3281</v>
      </c>
      <c r="B883" s="3">
        <v>0</v>
      </c>
      <c r="C883" s="3">
        <f>B883*$K$4</f>
        <v>0</v>
      </c>
      <c r="D883" s="3">
        <f>(E882/$K$1)*$K$2*1</f>
        <v>6.3714388271242137E-5</v>
      </c>
      <c r="E883" s="3">
        <f t="shared" si="26"/>
        <v>7.8437313068689153E-3</v>
      </c>
      <c r="F883" s="3">
        <f>E883/$K$1</f>
        <v>9.7232320650414222E-4</v>
      </c>
      <c r="G883" s="5">
        <f t="shared" si="27"/>
        <v>101324.99999857435</v>
      </c>
    </row>
    <row r="884" spans="1:7" x14ac:dyDescent="0.25">
      <c r="A884">
        <v>3282</v>
      </c>
      <c r="B884" s="3">
        <v>0</v>
      </c>
      <c r="C884" s="3">
        <f>B884*$K$4</f>
        <v>0</v>
      </c>
      <c r="D884" s="3">
        <f>(E883/$K$1)*$K$2*1</f>
        <v>6.3201008422769244E-5</v>
      </c>
      <c r="E884" s="3">
        <f t="shared" si="26"/>
        <v>7.7805302984461462E-3</v>
      </c>
      <c r="F884" s="3">
        <f>E884/$K$1</f>
        <v>9.6448869448941931E-4</v>
      </c>
      <c r="G884" s="5">
        <f t="shared" si="27"/>
        <v>101324.99999857435</v>
      </c>
    </row>
    <row r="885" spans="1:7" x14ac:dyDescent="0.25">
      <c r="A885">
        <v>3283</v>
      </c>
      <c r="B885" s="3">
        <v>0</v>
      </c>
      <c r="C885" s="3">
        <f>B885*$K$4</f>
        <v>0</v>
      </c>
      <c r="D885" s="3">
        <f>(E884/$K$1)*$K$2*1</f>
        <v>6.2691765141812254E-5</v>
      </c>
      <c r="E885" s="3">
        <f t="shared" si="26"/>
        <v>7.7178385333043342E-3</v>
      </c>
      <c r="F885" s="3">
        <f>E885/$K$1</f>
        <v>9.5671730919850431E-4</v>
      </c>
      <c r="G885" s="5">
        <f t="shared" si="27"/>
        <v>101324.99999857435</v>
      </c>
    </row>
    <row r="886" spans="1:7" x14ac:dyDescent="0.25">
      <c r="A886">
        <v>3284</v>
      </c>
      <c r="B886" s="3">
        <v>0</v>
      </c>
      <c r="C886" s="3">
        <f>B886*$K$4</f>
        <v>0</v>
      </c>
      <c r="D886" s="3">
        <f>(E885/$K$1)*$K$2*1</f>
        <v>6.2186625097902779E-5</v>
      </c>
      <c r="E886" s="3">
        <f t="shared" si="26"/>
        <v>7.6556519082064314E-3</v>
      </c>
      <c r="F886" s="3">
        <f>E886/$K$1</f>
        <v>9.4900854198666561E-4</v>
      </c>
      <c r="G886" s="5">
        <f t="shared" si="27"/>
        <v>101324.99999857435</v>
      </c>
    </row>
    <row r="887" spans="1:7" x14ac:dyDescent="0.25">
      <c r="A887">
        <v>3285</v>
      </c>
      <c r="B887" s="3">
        <v>0</v>
      </c>
      <c r="C887" s="3">
        <f>B887*$K$4</f>
        <v>0</v>
      </c>
      <c r="D887" s="3">
        <f>(E886/$K$1)*$K$2*1</f>
        <v>6.1685555229133262E-5</v>
      </c>
      <c r="E887" s="3">
        <f t="shared" si="26"/>
        <v>7.5939663529772982E-3</v>
      </c>
      <c r="F887" s="3">
        <f>E887/$K$1</f>
        <v>9.4136188830758617E-4</v>
      </c>
      <c r="G887" s="5">
        <f t="shared" si="27"/>
        <v>101324.99999857435</v>
      </c>
    </row>
    <row r="888" spans="1:7" x14ac:dyDescent="0.25">
      <c r="A888">
        <v>3286</v>
      </c>
      <c r="B888" s="3">
        <v>0</v>
      </c>
      <c r="C888" s="3">
        <f>B888*$K$4</f>
        <v>0</v>
      </c>
      <c r="D888" s="3">
        <f>(E887/$K$1)*$K$2*1</f>
        <v>6.1188522739993108E-5</v>
      </c>
      <c r="E888" s="3">
        <f t="shared" si="26"/>
        <v>7.5327778302373052E-3</v>
      </c>
      <c r="F888" s="3">
        <f>E888/$K$1</f>
        <v>9.3377684768034029E-4</v>
      </c>
      <c r="G888" s="5">
        <f t="shared" si="27"/>
        <v>101324.99999857435</v>
      </c>
    </row>
    <row r="889" spans="1:7" x14ac:dyDescent="0.25">
      <c r="A889">
        <v>3287</v>
      </c>
      <c r="B889" s="3">
        <v>0</v>
      </c>
      <c r="C889" s="3">
        <f>B889*$K$4</f>
        <v>0</v>
      </c>
      <c r="D889" s="3">
        <f>(E888/$K$1)*$K$2*1</f>
        <v>6.0695495099222119E-5</v>
      </c>
      <c r="E889" s="3">
        <f t="shared" si="26"/>
        <v>7.4720823351380828E-3</v>
      </c>
      <c r="F889" s="3">
        <f>E889/$K$1</f>
        <v>9.2625292365663601E-4</v>
      </c>
      <c r="G889" s="5">
        <f t="shared" si="27"/>
        <v>101324.99999857435</v>
      </c>
    </row>
    <row r="890" spans="1:7" x14ac:dyDescent="0.25">
      <c r="A890">
        <v>3288</v>
      </c>
      <c r="B890" s="3">
        <v>0</v>
      </c>
      <c r="C890" s="3">
        <f>B890*$K$4</f>
        <v>0</v>
      </c>
      <c r="D890" s="3">
        <f>(E889/$K$1)*$K$2*1</f>
        <v>6.0206440037681341E-5</v>
      </c>
      <c r="E890" s="3">
        <f t="shared" si="26"/>
        <v>7.4118758951004018E-3</v>
      </c>
      <c r="F890" s="3">
        <f>E890/$K$1</f>
        <v>9.1878962378832301E-4</v>
      </c>
      <c r="G890" s="5">
        <f t="shared" si="27"/>
        <v>101324.99999857435</v>
      </c>
    </row>
    <row r="891" spans="1:7" x14ac:dyDescent="0.25">
      <c r="A891">
        <v>3289</v>
      </c>
      <c r="B891" s="3">
        <v>0</v>
      </c>
      <c r="C891" s="3">
        <f>B891*$K$4</f>
        <v>0</v>
      </c>
      <c r="D891" s="3">
        <f>(E890/$K$1)*$K$2*1</f>
        <v>5.9721325546240999E-5</v>
      </c>
      <c r="E891" s="3">
        <f t="shared" si="26"/>
        <v>7.3521545695541604E-3</v>
      </c>
      <c r="F891" s="3">
        <f>E891/$K$1</f>
        <v>9.1138645959516057E-4</v>
      </c>
      <c r="G891" s="5">
        <f t="shared" si="27"/>
        <v>101324.99999857435</v>
      </c>
    </row>
    <row r="892" spans="1:7" x14ac:dyDescent="0.25">
      <c r="A892">
        <v>3290</v>
      </c>
      <c r="B892" s="3">
        <v>0</v>
      </c>
      <c r="C892" s="3">
        <f>B892*$K$4</f>
        <v>0</v>
      </c>
      <c r="D892" s="3">
        <f>(E891/$K$1)*$K$2*1</f>
        <v>5.9240119873685436E-5</v>
      </c>
      <c r="E892" s="3">
        <f t="shared" si="26"/>
        <v>7.2929144496804753E-3</v>
      </c>
      <c r="F892" s="3">
        <f>E892/$K$1</f>
        <v>9.0404294653284676E-4</v>
      </c>
      <c r="G892" s="5">
        <f t="shared" si="27"/>
        <v>101324.99999857435</v>
      </c>
    </row>
    <row r="893" spans="1:7" x14ac:dyDescent="0.25">
      <c r="A893">
        <v>3291</v>
      </c>
      <c r="B893" s="3">
        <v>0</v>
      </c>
      <c r="C893" s="3">
        <f>B893*$K$4</f>
        <v>0</v>
      </c>
      <c r="D893" s="3">
        <f>(E892/$K$1)*$K$2*1</f>
        <v>5.8762791524635045E-5</v>
      </c>
      <c r="E893" s="3">
        <f t="shared" si="26"/>
        <v>7.23415165815584E-3</v>
      </c>
      <c r="F893" s="3">
        <f>E893/$K$1</f>
        <v>8.9675860396130403E-4</v>
      </c>
      <c r="G893" s="5">
        <f t="shared" si="27"/>
        <v>101324.99999857435</v>
      </c>
    </row>
    <row r="894" spans="1:7" x14ac:dyDescent="0.25">
      <c r="A894">
        <v>3292</v>
      </c>
      <c r="B894" s="3">
        <v>0</v>
      </c>
      <c r="C894" s="3">
        <f>B894*$K$4</f>
        <v>0</v>
      </c>
      <c r="D894" s="3">
        <f>(E893/$K$1)*$K$2*1</f>
        <v>5.8289309257484764E-5</v>
      </c>
      <c r="E894" s="3">
        <f t="shared" si="26"/>
        <v>7.1758623488983554E-3</v>
      </c>
      <c r="F894" s="3">
        <f>E894/$K$1</f>
        <v>8.8953295511322121E-4</v>
      </c>
      <c r="G894" s="5">
        <f t="shared" si="27"/>
        <v>101324.99999857435</v>
      </c>
    </row>
    <row r="895" spans="1:7" x14ac:dyDescent="0.25">
      <c r="A895">
        <v>3293</v>
      </c>
      <c r="B895" s="3">
        <v>0</v>
      </c>
      <c r="C895" s="3">
        <f>B895*$K$4</f>
        <v>0</v>
      </c>
      <c r="D895" s="3">
        <f>(E894/$K$1)*$K$2*1</f>
        <v>5.7819642082359378E-5</v>
      </c>
      <c r="E895" s="3">
        <f t="shared" si="26"/>
        <v>7.1180427068159961E-3</v>
      </c>
      <c r="F895" s="3">
        <f>E895/$K$1</f>
        <v>8.8236552706284809E-4</v>
      </c>
      <c r="G895" s="5">
        <f t="shared" si="27"/>
        <v>101324.99999857435</v>
      </c>
    </row>
    <row r="896" spans="1:7" x14ac:dyDescent="0.25">
      <c r="A896">
        <v>3294</v>
      </c>
      <c r="B896" s="3">
        <v>0</v>
      </c>
      <c r="C896" s="3">
        <f>B896*$K$4</f>
        <v>0</v>
      </c>
      <c r="D896" s="3">
        <f>(E895/$K$1)*$K$2*1</f>
        <v>5.7353759259085126E-5</v>
      </c>
      <c r="E896" s="3">
        <f t="shared" si="26"/>
        <v>7.0606889475569113E-3</v>
      </c>
      <c r="F896" s="3">
        <f>E896/$K$1</f>
        <v>8.7525585069504286E-4</v>
      </c>
      <c r="G896" s="5">
        <f t="shared" si="27"/>
        <v>101324.99999857435</v>
      </c>
    </row>
    <row r="897" spans="1:7" x14ac:dyDescent="0.25">
      <c r="A897">
        <v>3295</v>
      </c>
      <c r="B897" s="3">
        <v>0</v>
      </c>
      <c r="C897" s="3">
        <f>B897*$K$4</f>
        <v>0</v>
      </c>
      <c r="D897" s="3">
        <f>(E896/$K$1)*$K$2*1</f>
        <v>5.6891630295177787E-5</v>
      </c>
      <c r="E897" s="3">
        <f t="shared" si="26"/>
        <v>7.0037973172617334E-3</v>
      </c>
      <c r="F897" s="3">
        <f>E897/$K$1</f>
        <v>8.6820346067456719E-4</v>
      </c>
      <c r="G897" s="5">
        <f t="shared" si="27"/>
        <v>101324.99999857435</v>
      </c>
    </row>
    <row r="898" spans="1:7" x14ac:dyDescent="0.25">
      <c r="A898">
        <v>3296</v>
      </c>
      <c r="B898" s="3">
        <v>0</v>
      </c>
      <c r="C898" s="3">
        <f>B898*$K$4</f>
        <v>0</v>
      </c>
      <c r="D898" s="3">
        <f>(E897/$K$1)*$K$2*1</f>
        <v>5.6433224943846868E-5</v>
      </c>
      <c r="E898" s="3">
        <f t="shared" si="26"/>
        <v>6.9473640923178861E-3</v>
      </c>
      <c r="F898" s="3">
        <f>E898/$K$1</f>
        <v>8.6120789541562989E-4</v>
      </c>
      <c r="G898" s="5">
        <f t="shared" si="27"/>
        <v>101324.99999857435</v>
      </c>
    </row>
    <row r="899" spans="1:7" x14ac:dyDescent="0.25">
      <c r="A899">
        <v>3297</v>
      </c>
      <c r="B899" s="3">
        <v>0</v>
      </c>
      <c r="C899" s="3">
        <f>B899*$K$4</f>
        <v>0</v>
      </c>
      <c r="D899" s="3">
        <f>(E898/$K$1)*$K$2*1</f>
        <v>5.5978513202015943E-5</v>
      </c>
      <c r="E899" s="3">
        <f t="shared" si="26"/>
        <v>6.8913855791158706E-3</v>
      </c>
      <c r="F899" s="3">
        <f>E899/$K$1</f>
        <v>8.5426869705167597E-4</v>
      </c>
      <c r="G899" s="5">
        <f t="shared" si="27"/>
        <v>101324.99999857435</v>
      </c>
    </row>
    <row r="900" spans="1:7" x14ac:dyDescent="0.25">
      <c r="A900">
        <v>3298</v>
      </c>
      <c r="B900" s="3">
        <v>0</v>
      </c>
      <c r="C900" s="3">
        <f>B900*$K$4</f>
        <v>0</v>
      </c>
      <c r="D900" s="3">
        <f>(E899/$K$1)*$K$2*1</f>
        <v>5.552746530835894E-5</v>
      </c>
      <c r="E900" s="3">
        <f t="shared" ref="E900:E963" si="28">E899+C900-D900</f>
        <v>6.8358581138075114E-3</v>
      </c>
      <c r="F900" s="3">
        <f>E900/$K$1</f>
        <v>8.473854114054185E-4</v>
      </c>
      <c r="G900" s="5">
        <f t="shared" ref="G900:G963" si="29">G899+C900-$K$5*$K$9*SQRT(MAX(0,2*$K$6*(G899-$K$11)))</f>
        <v>101324.99999857435</v>
      </c>
    </row>
    <row r="901" spans="1:7" x14ac:dyDescent="0.25">
      <c r="A901">
        <v>3299</v>
      </c>
      <c r="B901" s="3">
        <v>0</v>
      </c>
      <c r="C901" s="3">
        <f>B901*$K$4</f>
        <v>0</v>
      </c>
      <c r="D901" s="3">
        <f>(E900/$K$1)*$K$2*1</f>
        <v>5.5080051741352205E-5</v>
      </c>
      <c r="E901" s="3">
        <f t="shared" si="28"/>
        <v>6.780778062066159E-3</v>
      </c>
      <c r="F901" s="3">
        <f>E901/$K$1</f>
        <v>8.405575879591123E-4</v>
      </c>
      <c r="G901" s="5">
        <f t="shared" si="29"/>
        <v>101324.99999857435</v>
      </c>
    </row>
    <row r="902" spans="1:7" x14ac:dyDescent="0.25">
      <c r="A902">
        <v>3300</v>
      </c>
      <c r="B902" s="3">
        <v>0</v>
      </c>
      <c r="C902" s="3">
        <f>B902*$K$4</f>
        <v>0</v>
      </c>
      <c r="D902" s="3">
        <f>(E901/$K$1)*$K$2*1</f>
        <v>5.46362432173423E-5</v>
      </c>
      <c r="E902" s="3">
        <f t="shared" si="28"/>
        <v>6.7261418188488166E-3</v>
      </c>
      <c r="F902" s="3">
        <f>E902/$K$1</f>
        <v>8.3378477982506711E-4</v>
      </c>
      <c r="G902" s="5">
        <f t="shared" si="29"/>
        <v>101324.99999857435</v>
      </c>
    </row>
    <row r="903" spans="1:7" x14ac:dyDescent="0.25">
      <c r="A903">
        <v>3301</v>
      </c>
      <c r="B903" s="3">
        <v>0</v>
      </c>
      <c r="C903" s="3">
        <f>B903*$K$4</f>
        <v>0</v>
      </c>
      <c r="D903" s="3">
        <f>(E902/$K$1)*$K$2*1</f>
        <v>5.4196010688629365E-5</v>
      </c>
      <c r="E903" s="3">
        <f t="shared" si="28"/>
        <v>6.6719458081601875E-3</v>
      </c>
      <c r="F903" s="3">
        <f>E903/$K$1</f>
        <v>8.2706654371639862E-4</v>
      </c>
      <c r="G903" s="5">
        <f t="shared" si="29"/>
        <v>101324.99999857435</v>
      </c>
    </row>
    <row r="904" spans="1:7" x14ac:dyDescent="0.25">
      <c r="A904">
        <v>3302</v>
      </c>
      <c r="B904" s="3">
        <v>0</v>
      </c>
      <c r="C904" s="3">
        <f>B904*$K$4</f>
        <v>0</v>
      </c>
      <c r="D904" s="3">
        <f>(E903/$K$1)*$K$2*1</f>
        <v>5.3759325341565914E-5</v>
      </c>
      <c r="E904" s="3">
        <f t="shared" si="28"/>
        <v>6.6181864828186217E-3</v>
      </c>
      <c r="F904" s="3">
        <f>E904/$K$1</f>
        <v>8.2040243991801437E-4</v>
      </c>
      <c r="G904" s="5">
        <f t="shared" si="29"/>
        <v>101324.99999857435</v>
      </c>
    </row>
    <row r="905" spans="1:7" x14ac:dyDescent="0.25">
      <c r="A905">
        <v>3303</v>
      </c>
      <c r="B905" s="3">
        <v>0</v>
      </c>
      <c r="C905" s="3">
        <f>B905*$K$4</f>
        <v>0</v>
      </c>
      <c r="D905" s="3">
        <f>(E904/$K$1)*$K$2*1</f>
        <v>5.3326158594670935E-5</v>
      </c>
      <c r="E905" s="3">
        <f t="shared" si="28"/>
        <v>6.5648603242239511E-3</v>
      </c>
      <c r="F905" s="3">
        <f>E905/$K$1</f>
        <v>8.1379203225783446E-4</v>
      </c>
      <c r="G905" s="5">
        <f t="shared" si="29"/>
        <v>101324.99999857435</v>
      </c>
    </row>
    <row r="906" spans="1:7" x14ac:dyDescent="0.25">
      <c r="A906">
        <v>3304</v>
      </c>
      <c r="B906" s="3">
        <v>0</v>
      </c>
      <c r="C906" s="3">
        <f>B906*$K$4</f>
        <v>0</v>
      </c>
      <c r="D906" s="3">
        <f>(E905/$K$1)*$K$2*1</f>
        <v>5.2896482096759238E-5</v>
      </c>
      <c r="E906" s="3">
        <f t="shared" si="28"/>
        <v>6.5119638421271917E-3</v>
      </c>
      <c r="F906" s="3">
        <f>E906/$K$1</f>
        <v>8.0723488807824364E-4</v>
      </c>
      <c r="G906" s="5">
        <f t="shared" si="29"/>
        <v>101324.99999857435</v>
      </c>
    </row>
    <row r="907" spans="1:7" x14ac:dyDescent="0.25">
      <c r="A907">
        <v>3305</v>
      </c>
      <c r="B907" s="3">
        <v>0</v>
      </c>
      <c r="C907" s="3">
        <f>B907*$K$4</f>
        <v>0</v>
      </c>
      <c r="D907" s="3">
        <f>(E906/$K$1)*$K$2*1</f>
        <v>5.2470267725085839E-5</v>
      </c>
      <c r="E907" s="3">
        <f t="shared" si="28"/>
        <v>6.4594935744021059E-3</v>
      </c>
      <c r="F907" s="3">
        <f>E907/$K$1</f>
        <v>8.0073057820777315E-4</v>
      </c>
      <c r="G907" s="5">
        <f t="shared" si="29"/>
        <v>101324.99999857435</v>
      </c>
    </row>
    <row r="908" spans="1:7" x14ac:dyDescent="0.25">
      <c r="A908">
        <v>3306</v>
      </c>
      <c r="B908" s="3">
        <v>0</v>
      </c>
      <c r="C908" s="3">
        <f>B908*$K$4</f>
        <v>0</v>
      </c>
      <c r="D908" s="3">
        <f>(E907/$K$1)*$K$2*1</f>
        <v>5.204748758350526E-5</v>
      </c>
      <c r="E908" s="3">
        <f t="shared" si="28"/>
        <v>6.4074460868186007E-3</v>
      </c>
      <c r="F908" s="3">
        <f>E908/$K$1</f>
        <v>7.942786769330111E-4</v>
      </c>
      <c r="G908" s="5">
        <f t="shared" si="29"/>
        <v>101324.99999857435</v>
      </c>
    </row>
    <row r="909" spans="1:7" x14ac:dyDescent="0.25">
      <c r="A909">
        <v>3307</v>
      </c>
      <c r="B909" s="3">
        <v>0</v>
      </c>
      <c r="C909" s="3">
        <f>B909*$K$4</f>
        <v>0</v>
      </c>
      <c r="D909" s="3">
        <f>(E908/$K$1)*$K$2*1</f>
        <v>5.1628114000645723E-5</v>
      </c>
      <c r="E909" s="3">
        <f t="shared" si="28"/>
        <v>6.3558179728179552E-3</v>
      </c>
      <c r="F909" s="3">
        <f>E909/$K$1</f>
        <v>7.8787876197073943E-4</v>
      </c>
      <c r="G909" s="5">
        <f t="shared" si="29"/>
        <v>101324.99999857435</v>
      </c>
    </row>
    <row r="910" spans="1:7" x14ac:dyDescent="0.25">
      <c r="A910">
        <v>3308</v>
      </c>
      <c r="B910" s="3">
        <v>0</v>
      </c>
      <c r="C910" s="3">
        <f>B910*$K$4</f>
        <v>0</v>
      </c>
      <c r="D910" s="3">
        <f>(E909/$K$1)*$K$2*1</f>
        <v>5.1212119528098062E-5</v>
      </c>
      <c r="E910" s="3">
        <f t="shared" si="28"/>
        <v>6.3046058532898568E-3</v>
      </c>
      <c r="F910" s="3">
        <f>E910/$K$1</f>
        <v>7.8153041444029459E-4</v>
      </c>
      <c r="G910" s="5">
        <f t="shared" si="29"/>
        <v>101324.99999857435</v>
      </c>
    </row>
    <row r="911" spans="1:7" x14ac:dyDescent="0.25">
      <c r="A911">
        <v>3309</v>
      </c>
      <c r="B911" s="3">
        <v>0</v>
      </c>
      <c r="C911" s="3">
        <f>B911*$K$4</f>
        <v>0</v>
      </c>
      <c r="D911" s="3">
        <f>(E910/$K$1)*$K$2*1</f>
        <v>5.0799476938619152E-5</v>
      </c>
      <c r="E911" s="3">
        <f t="shared" si="28"/>
        <v>6.2538063763512373E-3</v>
      </c>
      <c r="F911" s="3">
        <f>E911/$K$1</f>
        <v>7.7523321883615185E-4</v>
      </c>
      <c r="G911" s="5">
        <f t="shared" si="29"/>
        <v>101324.99999857435</v>
      </c>
    </row>
    <row r="912" spans="1:7" x14ac:dyDescent="0.25">
      <c r="A912">
        <v>3310</v>
      </c>
      <c r="B912" s="3">
        <v>0</v>
      </c>
      <c r="C912" s="3">
        <f>B912*$K$4</f>
        <v>0</v>
      </c>
      <c r="D912" s="3">
        <f>(E911/$K$1)*$K$2*1</f>
        <v>5.0390159224349875E-5</v>
      </c>
      <c r="E912" s="3">
        <f t="shared" si="28"/>
        <v>6.2034162171268874E-3</v>
      </c>
      <c r="F912" s="3">
        <f>E912/$K$1</f>
        <v>7.689867630007298E-4</v>
      </c>
      <c r="G912" s="5">
        <f t="shared" si="29"/>
        <v>101324.99999857435</v>
      </c>
    </row>
    <row r="913" spans="1:7" x14ac:dyDescent="0.25">
      <c r="A913">
        <v>3311</v>
      </c>
      <c r="B913" s="3">
        <v>0</v>
      </c>
      <c r="C913" s="3">
        <f>B913*$K$4</f>
        <v>0</v>
      </c>
      <c r="D913" s="3">
        <f>(E912/$K$1)*$K$2*1</f>
        <v>4.9984139595047437E-5</v>
      </c>
      <c r="E913" s="3">
        <f t="shared" si="28"/>
        <v>6.1534320775318398E-3</v>
      </c>
      <c r="F913" s="3">
        <f>E913/$K$1</f>
        <v>7.6279063809741416E-4</v>
      </c>
      <c r="G913" s="5">
        <f t="shared" si="29"/>
        <v>101324.99999857435</v>
      </c>
    </row>
    <row r="914" spans="1:7" x14ac:dyDescent="0.25">
      <c r="A914">
        <v>3312</v>
      </c>
      <c r="B914" s="3">
        <v>0</v>
      </c>
      <c r="C914" s="3">
        <f>B914*$K$4</f>
        <v>0</v>
      </c>
      <c r="D914" s="3">
        <f>(E913/$K$1)*$K$2*1</f>
        <v>4.958139147633192E-5</v>
      </c>
      <c r="E914" s="3">
        <f t="shared" si="28"/>
        <v>6.1038506860555076E-3</v>
      </c>
      <c r="F914" s="3">
        <f>E914/$K$1</f>
        <v>7.5664443858379916E-4</v>
      </c>
      <c r="G914" s="5">
        <f t="shared" si="29"/>
        <v>101324.99999857435</v>
      </c>
    </row>
    <row r="915" spans="1:7" x14ac:dyDescent="0.25">
      <c r="A915">
        <v>3313</v>
      </c>
      <c r="B915" s="3">
        <v>0</v>
      </c>
      <c r="C915" s="3">
        <f>B915*$K$4</f>
        <v>0</v>
      </c>
      <c r="D915" s="3">
        <f>(E914/$K$1)*$K$2*1</f>
        <v>4.9181888507946947E-5</v>
      </c>
      <c r="E915" s="3">
        <f t="shared" si="28"/>
        <v>6.054668797547561E-3</v>
      </c>
      <c r="F915" s="3">
        <f>E915/$K$1</f>
        <v>7.5054776218514449E-4</v>
      </c>
      <c r="G915" s="5">
        <f t="shared" si="29"/>
        <v>101324.99999857435</v>
      </c>
    </row>
    <row r="916" spans="1:7" x14ac:dyDescent="0.25">
      <c r="A916">
        <v>3314</v>
      </c>
      <c r="B916" s="3">
        <v>0</v>
      </c>
      <c r="C916" s="3">
        <f>B916*$K$4</f>
        <v>0</v>
      </c>
      <c r="D916" s="3">
        <f>(E915/$K$1)*$K$2*1</f>
        <v>4.8785604542034394E-5</v>
      </c>
      <c r="E916" s="3">
        <f t="shared" si="28"/>
        <v>6.0058831930055265E-3</v>
      </c>
      <c r="F916" s="3">
        <f>E916/$K$1</f>
        <v>7.4450020986804595E-4</v>
      </c>
      <c r="G916" s="5">
        <f t="shared" si="29"/>
        <v>101324.99999857435</v>
      </c>
    </row>
    <row r="917" spans="1:7" x14ac:dyDescent="0.25">
      <c r="A917">
        <v>3315</v>
      </c>
      <c r="B917" s="3">
        <v>0</v>
      </c>
      <c r="C917" s="3">
        <f>B917*$K$4</f>
        <v>0</v>
      </c>
      <c r="D917" s="3">
        <f>(E916/$K$1)*$K$2*1</f>
        <v>4.8392513641422987E-5</v>
      </c>
      <c r="E917" s="3">
        <f t="shared" si="28"/>
        <v>5.9574906793641033E-3</v>
      </c>
      <c r="F917" s="3">
        <f>E917/$K$1</f>
        <v>7.3850138581431802E-4</v>
      </c>
      <c r="G917" s="5">
        <f t="shared" si="29"/>
        <v>101324.99999857435</v>
      </c>
    </row>
    <row r="918" spans="1:7" x14ac:dyDescent="0.25">
      <c r="A918">
        <v>3316</v>
      </c>
      <c r="B918" s="3">
        <v>0</v>
      </c>
      <c r="C918" s="3">
        <f>B918*$K$4</f>
        <v>0</v>
      </c>
      <c r="D918" s="3">
        <f>(E917/$K$1)*$K$2*1</f>
        <v>4.8002590077930669E-5</v>
      </c>
      <c r="E918" s="3">
        <f t="shared" si="28"/>
        <v>5.9094880892861723E-3</v>
      </c>
      <c r="F918" s="3">
        <f>E918/$K$1</f>
        <v>7.3255089739508771E-4</v>
      </c>
      <c r="G918" s="5">
        <f t="shared" si="29"/>
        <v>101324.99999857435</v>
      </c>
    </row>
    <row r="919" spans="1:7" x14ac:dyDescent="0.25">
      <c r="A919">
        <v>3317</v>
      </c>
      <c r="B919" s="3">
        <v>0</v>
      </c>
      <c r="C919" s="3">
        <f>B919*$K$4</f>
        <v>0</v>
      </c>
      <c r="D919" s="3">
        <f>(E918/$K$1)*$K$2*1</f>
        <v>4.7615808330680701E-5</v>
      </c>
      <c r="E919" s="3">
        <f t="shared" si="28"/>
        <v>5.8618722809554913E-3</v>
      </c>
      <c r="F919" s="3">
        <f>E919/$K$1</f>
        <v>7.2664835514509626E-4</v>
      </c>
      <c r="G919" s="5">
        <f t="shared" si="29"/>
        <v>101324.99999857435</v>
      </c>
    </row>
    <row r="920" spans="1:7" x14ac:dyDescent="0.25">
      <c r="A920">
        <v>3318</v>
      </c>
      <c r="B920" s="3">
        <v>0</v>
      </c>
      <c r="C920" s="3">
        <f>B920*$K$4</f>
        <v>0</v>
      </c>
      <c r="D920" s="3">
        <f>(E919/$K$1)*$K$2*1</f>
        <v>4.7232143084431257E-5</v>
      </c>
      <c r="E920" s="3">
        <f t="shared" si="28"/>
        <v>5.8146401378710603E-3</v>
      </c>
      <c r="F920" s="3">
        <f>E920/$K$1</f>
        <v>7.2079337273720846E-4</v>
      </c>
      <c r="G920" s="5">
        <f t="shared" si="29"/>
        <v>101324.99999857435</v>
      </c>
    </row>
    <row r="921" spans="1:7" x14ac:dyDescent="0.25">
      <c r="A921">
        <v>3319</v>
      </c>
      <c r="B921" s="3">
        <v>0</v>
      </c>
      <c r="C921" s="3">
        <f>B921*$K$4</f>
        <v>0</v>
      </c>
      <c r="D921" s="3">
        <f>(E920/$K$1)*$K$2*1</f>
        <v>4.6851569227918554E-5</v>
      </c>
      <c r="E921" s="3">
        <f t="shared" si="28"/>
        <v>5.7677885686431415E-3</v>
      </c>
      <c r="F921" s="3">
        <f>E921/$K$1</f>
        <v>7.1498556695712677E-4</v>
      </c>
      <c r="G921" s="5">
        <f t="shared" si="29"/>
        <v>101324.99999857435</v>
      </c>
    </row>
    <row r="922" spans="1:7" x14ac:dyDescent="0.25">
      <c r="A922">
        <v>3320</v>
      </c>
      <c r="B922" s="3">
        <v>0</v>
      </c>
      <c r="C922" s="3">
        <f>B922*$K$4</f>
        <v>0</v>
      </c>
      <c r="D922" s="3">
        <f>(E921/$K$1)*$K$2*1</f>
        <v>4.6474061852213241E-5</v>
      </c>
      <c r="E922" s="3">
        <f t="shared" si="28"/>
        <v>5.7213145067909286E-3</v>
      </c>
      <c r="F922" s="3">
        <f>E922/$K$1</f>
        <v>7.0922455767831016E-4</v>
      </c>
      <c r="G922" s="5">
        <f t="shared" si="29"/>
        <v>101324.99999857435</v>
      </c>
    </row>
    <row r="923" spans="1:7" x14ac:dyDescent="0.25">
      <c r="A923">
        <v>3321</v>
      </c>
      <c r="B923" s="3">
        <v>0</v>
      </c>
      <c r="C923" s="3">
        <f>B923*$K$4</f>
        <v>0</v>
      </c>
      <c r="D923" s="3">
        <f>(E922/$K$1)*$K$2*1</f>
        <v>4.6099596249090161E-5</v>
      </c>
      <c r="E923" s="3">
        <f t="shared" si="28"/>
        <v>5.6752149105418386E-3</v>
      </c>
      <c r="F923" s="3">
        <f>E923/$K$1</f>
        <v>7.0350996783709416E-4</v>
      </c>
      <c r="G923" s="5">
        <f t="shared" si="29"/>
        <v>101324.99999857435</v>
      </c>
    </row>
    <row r="924" spans="1:7" x14ac:dyDescent="0.25">
      <c r="A924">
        <v>3322</v>
      </c>
      <c r="B924" s="3">
        <v>0</v>
      </c>
      <c r="C924" s="3">
        <f>B924*$K$4</f>
        <v>0</v>
      </c>
      <c r="D924" s="3">
        <f>(E923/$K$1)*$K$2*1</f>
        <v>4.5728147909411125E-5</v>
      </c>
      <c r="E924" s="3">
        <f t="shared" si="28"/>
        <v>5.6294867626324272E-3</v>
      </c>
      <c r="F924" s="3">
        <f>E924/$K$1</f>
        <v>6.9784142340801128E-4</v>
      </c>
      <c r="G924" s="5">
        <f t="shared" si="29"/>
        <v>101324.99999857435</v>
      </c>
    </row>
    <row r="925" spans="1:7" x14ac:dyDescent="0.25">
      <c r="A925">
        <v>3323</v>
      </c>
      <c r="B925" s="3">
        <v>0</v>
      </c>
      <c r="C925" s="3">
        <f>B925*$K$4</f>
        <v>0</v>
      </c>
      <c r="D925" s="3">
        <f>(E924/$K$1)*$K$2*1</f>
        <v>4.5359692521520737E-5</v>
      </c>
      <c r="E925" s="3">
        <f t="shared" si="28"/>
        <v>5.5841270701109062E-3</v>
      </c>
      <c r="F925" s="3">
        <f>E925/$K$1</f>
        <v>6.9221855337931154E-4</v>
      </c>
      <c r="G925" s="5">
        <f t="shared" si="29"/>
        <v>101324.99999857435</v>
      </c>
    </row>
    <row r="926" spans="1:7" x14ac:dyDescent="0.25">
      <c r="A926">
        <v>3324</v>
      </c>
      <c r="B926" s="3">
        <v>0</v>
      </c>
      <c r="C926" s="3">
        <f>B926*$K$4</f>
        <v>0</v>
      </c>
      <c r="D926" s="3">
        <f>(E925/$K$1)*$K$2*1</f>
        <v>4.4994205969655255E-5</v>
      </c>
      <c r="E926" s="3">
        <f t="shared" si="28"/>
        <v>5.5391328641412512E-3</v>
      </c>
      <c r="F926" s="3">
        <f>E926/$K$1</f>
        <v>6.8664098972867865E-4</v>
      </c>
      <c r="G926" s="5">
        <f t="shared" si="29"/>
        <v>101324.99999857435</v>
      </c>
    </row>
    <row r="927" spans="1:7" x14ac:dyDescent="0.25">
      <c r="A927">
        <v>3325</v>
      </c>
      <c r="B927" s="3">
        <v>0</v>
      </c>
      <c r="C927" s="3">
        <f>B927*$K$4</f>
        <v>0</v>
      </c>
      <c r="D927" s="3">
        <f>(E926/$K$1)*$K$2*1</f>
        <v>4.4631664332364117E-5</v>
      </c>
      <c r="E927" s="3">
        <f t="shared" si="28"/>
        <v>5.494501199808887E-3</v>
      </c>
      <c r="F927" s="3">
        <f>E927/$K$1</f>
        <v>6.8110836739914305E-4</v>
      </c>
      <c r="G927" s="5">
        <f t="shared" si="29"/>
        <v>101324.99999857435</v>
      </c>
    </row>
    <row r="928" spans="1:7" x14ac:dyDescent="0.25">
      <c r="A928">
        <v>3326</v>
      </c>
      <c r="B928" s="3">
        <v>0</v>
      </c>
      <c r="C928" s="3">
        <f>B928*$K$4</f>
        <v>0</v>
      </c>
      <c r="D928" s="3">
        <f>(E927/$K$1)*$K$2*1</f>
        <v>4.4272043880944301E-5</v>
      </c>
      <c r="E928" s="3">
        <f t="shared" si="28"/>
        <v>5.4502291559279424E-3</v>
      </c>
      <c r="F928" s="3">
        <f>E928/$K$1</f>
        <v>6.7562032427518812E-4</v>
      </c>
      <c r="G928" s="5">
        <f t="shared" si="29"/>
        <v>101324.99999857435</v>
      </c>
    </row>
    <row r="929" spans="1:7" x14ac:dyDescent="0.25">
      <c r="A929">
        <v>3327</v>
      </c>
      <c r="B929" s="3">
        <v>0</v>
      </c>
      <c r="C929" s="3">
        <f>B929*$K$4</f>
        <v>0</v>
      </c>
      <c r="D929" s="3">
        <f>(E928/$K$1)*$K$2*1</f>
        <v>4.3915321077887228E-5</v>
      </c>
      <c r="E929" s="3">
        <f t="shared" si="28"/>
        <v>5.4063138348500548E-3</v>
      </c>
      <c r="F929" s="3">
        <f>E929/$K$1</f>
        <v>6.7017650115904978E-4</v>
      </c>
      <c r="G929" s="5">
        <f t="shared" si="29"/>
        <v>101324.99999857435</v>
      </c>
    </row>
    <row r="930" spans="1:7" x14ac:dyDescent="0.25">
      <c r="A930">
        <v>3328</v>
      </c>
      <c r="B930" s="3">
        <v>0</v>
      </c>
      <c r="C930" s="3">
        <f>B930*$K$4</f>
        <v>0</v>
      </c>
      <c r="D930" s="3">
        <f>(E929/$K$1)*$K$2*1</f>
        <v>4.3561472575338235E-5</v>
      </c>
      <c r="E930" s="3">
        <f t="shared" si="28"/>
        <v>5.3627523622747164E-3</v>
      </c>
      <c r="F930" s="3">
        <f>E930/$K$1</f>
        <v>6.6477654174720673E-4</v>
      </c>
      <c r="G930" s="5">
        <f t="shared" si="29"/>
        <v>101324.99999857435</v>
      </c>
    </row>
    <row r="931" spans="1:7" x14ac:dyDescent="0.25">
      <c r="A931">
        <v>3329</v>
      </c>
      <c r="B931" s="3">
        <v>0</v>
      </c>
      <c r="C931" s="3">
        <f>B931*$K$4</f>
        <v>0</v>
      </c>
      <c r="D931" s="3">
        <f>(E930/$K$1)*$K$2*1</f>
        <v>4.3210475213568442E-5</v>
      </c>
      <c r="E931" s="3">
        <f t="shared" si="28"/>
        <v>5.3195418870611482E-3</v>
      </c>
      <c r="F931" s="3">
        <f>E931/$K$1</f>
        <v>6.5942009260705936E-4</v>
      </c>
      <c r="G931" s="5">
        <f t="shared" si="29"/>
        <v>101324.99999857435</v>
      </c>
    </row>
    <row r="932" spans="1:7" x14ac:dyDescent="0.25">
      <c r="A932">
        <v>3330</v>
      </c>
      <c r="B932" s="3">
        <v>0</v>
      </c>
      <c r="C932" s="3">
        <f>B932*$K$4</f>
        <v>0</v>
      </c>
      <c r="D932" s="3">
        <f>(E931/$K$1)*$K$2*1</f>
        <v>4.2862306019458862E-5</v>
      </c>
      <c r="E932" s="3">
        <f t="shared" si="28"/>
        <v>5.276679581041689E-3</v>
      </c>
      <c r="F932" s="3">
        <f>E932/$K$1</f>
        <v>6.5410680315379803E-4</v>
      </c>
      <c r="G932" s="5">
        <f t="shared" si="29"/>
        <v>101324.99999857435</v>
      </c>
    </row>
    <row r="933" spans="1:7" x14ac:dyDescent="0.25">
      <c r="A933">
        <v>3331</v>
      </c>
      <c r="B933" s="3">
        <v>0</v>
      </c>
      <c r="C933" s="3">
        <f>B933*$K$4</f>
        <v>0</v>
      </c>
      <c r="D933" s="3">
        <f>(E932/$K$1)*$K$2*1</f>
        <v>4.2516942204996875E-5</v>
      </c>
      <c r="E933" s="3">
        <f t="shared" si="28"/>
        <v>5.2341626388366924E-3</v>
      </c>
      <c r="F933" s="3">
        <f>E933/$K$1</f>
        <v>6.4883632562745661E-4</v>
      </c>
      <c r="G933" s="5">
        <f t="shared" si="29"/>
        <v>101324.99999857435</v>
      </c>
    </row>
    <row r="934" spans="1:7" x14ac:dyDescent="0.25">
      <c r="A934">
        <v>3332</v>
      </c>
      <c r="B934" s="3">
        <v>0</v>
      </c>
      <c r="C934" s="3">
        <f>B934*$K$4</f>
        <v>0</v>
      </c>
      <c r="D934" s="3">
        <f>(E933/$K$1)*$K$2*1</f>
        <v>4.2174361165784684E-5</v>
      </c>
      <c r="E934" s="3">
        <f t="shared" si="28"/>
        <v>5.1919882776709078E-3</v>
      </c>
      <c r="F934" s="3">
        <f>E934/$K$1</f>
        <v>6.436083150701509E-4</v>
      </c>
      <c r="G934" s="5">
        <f t="shared" si="29"/>
        <v>101324.99999857435</v>
      </c>
    </row>
    <row r="935" spans="1:7" x14ac:dyDescent="0.25">
      <c r="A935">
        <v>3333</v>
      </c>
      <c r="B935" s="3">
        <v>0</v>
      </c>
      <c r="C935" s="3">
        <f>B935*$K$4</f>
        <v>0</v>
      </c>
      <c r="D935" s="3">
        <f>(E934/$K$1)*$K$2*1</f>
        <v>4.1834540479559809E-5</v>
      </c>
      <c r="E935" s="3">
        <f t="shared" si="28"/>
        <v>5.1501537371913481E-3</v>
      </c>
      <c r="F935" s="3">
        <f>E935/$K$1</f>
        <v>6.3842242930350164E-4</v>
      </c>
      <c r="G935" s="5">
        <f t="shared" si="29"/>
        <v>101324.99999857435</v>
      </c>
    </row>
    <row r="936" spans="1:7" x14ac:dyDescent="0.25">
      <c r="A936">
        <v>3334</v>
      </c>
      <c r="B936" s="3">
        <v>0</v>
      </c>
      <c r="C936" s="3">
        <f>B936*$K$4</f>
        <v>0</v>
      </c>
      <c r="D936" s="3">
        <f>(E935/$K$1)*$K$2*1</f>
        <v>4.149745790472761E-5</v>
      </c>
      <c r="E936" s="3">
        <f t="shared" si="28"/>
        <v>5.1086562792866204E-3</v>
      </c>
      <c r="F936" s="3">
        <f>E936/$K$1</f>
        <v>6.3327832890623778E-4</v>
      </c>
      <c r="G936" s="5">
        <f t="shared" si="29"/>
        <v>101324.99999857435</v>
      </c>
    </row>
    <row r="937" spans="1:7" x14ac:dyDescent="0.25">
      <c r="A937">
        <v>3335</v>
      </c>
      <c r="B937" s="3">
        <v>0</v>
      </c>
      <c r="C937" s="3">
        <f>B937*$K$4</f>
        <v>0</v>
      </c>
      <c r="D937" s="3">
        <f>(E936/$K$1)*$K$2*1</f>
        <v>4.1163091378905458E-5</v>
      </c>
      <c r="E937" s="3">
        <f t="shared" si="28"/>
        <v>5.0674931879077147E-3</v>
      </c>
      <c r="F937" s="3">
        <f>E937/$K$1</f>
        <v>6.2817567719198144E-4</v>
      </c>
      <c r="G937" s="5">
        <f t="shared" si="29"/>
        <v>101324.99999857435</v>
      </c>
    </row>
    <row r="938" spans="1:7" x14ac:dyDescent="0.25">
      <c r="A938">
        <v>3336</v>
      </c>
      <c r="B938" s="3">
        <v>0</v>
      </c>
      <c r="C938" s="3">
        <f>B938*$K$4</f>
        <v>0</v>
      </c>
      <c r="D938" s="3">
        <f>(E937/$K$1)*$K$2*1</f>
        <v>4.0831419017478798E-5</v>
      </c>
      <c r="E938" s="3">
        <f t="shared" si="28"/>
        <v>5.0266617688902362E-3</v>
      </c>
      <c r="F938" s="3">
        <f>E938/$K$1</f>
        <v>6.2311414018721158E-4</v>
      </c>
      <c r="G938" s="5">
        <f t="shared" si="29"/>
        <v>101324.99999857435</v>
      </c>
    </row>
    <row r="939" spans="1:7" x14ac:dyDescent="0.25">
      <c r="A939">
        <v>3337</v>
      </c>
      <c r="B939" s="3">
        <v>0</v>
      </c>
      <c r="C939" s="3">
        <f>B939*$K$4</f>
        <v>0</v>
      </c>
      <c r="D939" s="3">
        <f>(E938/$K$1)*$K$2*1</f>
        <v>4.0502419112168757E-5</v>
      </c>
      <c r="E939" s="3">
        <f t="shared" si="28"/>
        <v>4.9861593497780672E-3</v>
      </c>
      <c r="F939" s="3">
        <f>E939/$K$1</f>
        <v>6.1809338660940465E-4</v>
      </c>
      <c r="G939" s="5">
        <f t="shared" si="29"/>
        <v>101324.99999857435</v>
      </c>
    </row>
    <row r="940" spans="1:7" x14ac:dyDescent="0.25">
      <c r="A940">
        <v>3338</v>
      </c>
      <c r="B940" s="3">
        <v>0</v>
      </c>
      <c r="C940" s="3">
        <f>B940*$K$4</f>
        <v>0</v>
      </c>
      <c r="D940" s="3">
        <f>(E939/$K$1)*$K$2*1</f>
        <v>4.0176070129611302E-5</v>
      </c>
      <c r="E940" s="3">
        <f t="shared" si="28"/>
        <v>4.9459832796484556E-3</v>
      </c>
      <c r="F940" s="3">
        <f>E940/$K$1</f>
        <v>6.1311308784535207E-4</v>
      </c>
      <c r="G940" s="5">
        <f t="shared" si="29"/>
        <v>101324.99999857435</v>
      </c>
    </row>
    <row r="941" spans="1:7" x14ac:dyDescent="0.25">
      <c r="A941">
        <v>3339</v>
      </c>
      <c r="B941" s="3">
        <v>0</v>
      </c>
      <c r="C941" s="3">
        <f>B941*$K$4</f>
        <v>0</v>
      </c>
      <c r="D941" s="3">
        <f>(E940/$K$1)*$K$2*1</f>
        <v>3.9852350709947883E-5</v>
      </c>
      <c r="E941" s="3">
        <f t="shared" si="28"/>
        <v>4.9061309289385076E-3</v>
      </c>
      <c r="F941" s="3">
        <f>E941/$K$1</f>
        <v>6.0817291792965257E-4</v>
      </c>
      <c r="G941" s="5">
        <f t="shared" si="29"/>
        <v>101324.99999857435</v>
      </c>
    </row>
    <row r="942" spans="1:7" x14ac:dyDescent="0.25">
      <c r="A942">
        <v>3340</v>
      </c>
      <c r="B942" s="3">
        <v>0</v>
      </c>
      <c r="C942" s="3">
        <f>B942*$K$4</f>
        <v>0</v>
      </c>
      <c r="D942" s="3">
        <f>(E941/$K$1)*$K$2*1</f>
        <v>3.9531239665427415E-5</v>
      </c>
      <c r="E942" s="3">
        <f t="shared" si="28"/>
        <v>4.8665996892730806E-3</v>
      </c>
      <c r="F942" s="3">
        <f>E942/$K$1</f>
        <v>6.0327255352337673E-4</v>
      </c>
      <c r="G942" s="5">
        <f t="shared" si="29"/>
        <v>101324.99999857435</v>
      </c>
    </row>
    <row r="943" spans="1:7" x14ac:dyDescent="0.25">
      <c r="A943">
        <v>3341</v>
      </c>
      <c r="B943" s="3">
        <v>0</v>
      </c>
      <c r="C943" s="3">
        <f>B943*$K$4</f>
        <v>0</v>
      </c>
      <c r="D943" s="3">
        <f>(E942/$K$1)*$K$2*1</f>
        <v>3.9212715979019491E-5</v>
      </c>
      <c r="E943" s="3">
        <f t="shared" si="28"/>
        <v>4.8273869732940611E-3</v>
      </c>
      <c r="F943" s="3">
        <f>E943/$K$1</f>
        <v>5.9841167389290456E-4</v>
      </c>
      <c r="G943" s="5">
        <f t="shared" si="29"/>
        <v>101324.99999857435</v>
      </c>
    </row>
    <row r="944" spans="1:7" x14ac:dyDescent="0.25">
      <c r="A944">
        <v>3342</v>
      </c>
      <c r="B944" s="3">
        <v>0</v>
      </c>
      <c r="C944" s="3">
        <f>B944*$K$4</f>
        <v>0</v>
      </c>
      <c r="D944" s="3">
        <f>(E943/$K$1)*$K$2*1</f>
        <v>3.8896758803038796E-5</v>
      </c>
      <c r="E944" s="3">
        <f t="shared" si="28"/>
        <v>4.7884902144910224E-3</v>
      </c>
      <c r="F944" s="3">
        <f>E944/$K$1</f>
        <v>5.9358996088893293E-4</v>
      </c>
      <c r="G944" s="5">
        <f t="shared" si="29"/>
        <v>101324.99999857435</v>
      </c>
    </row>
    <row r="945" spans="1:7" x14ac:dyDescent="0.25">
      <c r="A945">
        <v>3343</v>
      </c>
      <c r="B945" s="3">
        <v>0</v>
      </c>
      <c r="C945" s="3">
        <f>B945*$K$4</f>
        <v>0</v>
      </c>
      <c r="D945" s="3">
        <f>(E944/$K$1)*$K$2*1</f>
        <v>3.8583347457780639E-5</v>
      </c>
      <c r="E945" s="3">
        <f t="shared" si="28"/>
        <v>4.749906867033242E-3</v>
      </c>
      <c r="F945" s="3">
        <f>E945/$K$1</f>
        <v>5.8880709892565294E-4</v>
      </c>
      <c r="G945" s="5">
        <f t="shared" si="29"/>
        <v>101324.99999857435</v>
      </c>
    </row>
    <row r="946" spans="1:7" x14ac:dyDescent="0.25">
      <c r="A946">
        <v>3344</v>
      </c>
      <c r="B946" s="3">
        <v>0</v>
      </c>
      <c r="C946" s="3">
        <f>B946*$K$4</f>
        <v>0</v>
      </c>
      <c r="D946" s="3">
        <f>(E945/$K$1)*$K$2*1</f>
        <v>3.8272461430167441E-5</v>
      </c>
      <c r="E946" s="3">
        <f t="shared" si="28"/>
        <v>4.7116344056030747E-3</v>
      </c>
      <c r="F946" s="3">
        <f>E946/$K$1</f>
        <v>5.8406277496009359E-4</v>
      </c>
      <c r="G946" s="5">
        <f t="shared" si="29"/>
        <v>101324.99999857435</v>
      </c>
    </row>
    <row r="947" spans="1:7" x14ac:dyDescent="0.25">
      <c r="A947">
        <v>3345</v>
      </c>
      <c r="B947" s="3">
        <v>0</v>
      </c>
      <c r="C947" s="3">
        <f>B947*$K$4</f>
        <v>0</v>
      </c>
      <c r="D947" s="3">
        <f>(E946/$K$1)*$K$2*1</f>
        <v>3.7964080372406082E-5</v>
      </c>
      <c r="E947" s="3">
        <f t="shared" si="28"/>
        <v>4.6736703252306683E-3</v>
      </c>
      <c r="F947" s="3">
        <f>E947/$K$1</f>
        <v>5.7935667847163364E-4</v>
      </c>
      <c r="G947" s="5">
        <f t="shared" si="29"/>
        <v>101324.99999857435</v>
      </c>
    </row>
    <row r="948" spans="1:7" x14ac:dyDescent="0.25">
      <c r="A948">
        <v>3346</v>
      </c>
      <c r="B948" s="3">
        <v>0</v>
      </c>
      <c r="C948" s="3">
        <f>B948*$K$4</f>
        <v>0</v>
      </c>
      <c r="D948" s="3">
        <f>(E947/$K$1)*$K$2*1</f>
        <v>3.7658184100656185E-5</v>
      </c>
      <c r="E948" s="3">
        <f t="shared" si="28"/>
        <v>4.6360121411300123E-3</v>
      </c>
      <c r="F948" s="3">
        <f>E948/$K$1</f>
        <v>5.7468850144167753E-4</v>
      </c>
      <c r="G948" s="5">
        <f t="shared" si="29"/>
        <v>101324.99999857435</v>
      </c>
    </row>
    <row r="949" spans="1:7" x14ac:dyDescent="0.25">
      <c r="A949">
        <v>3347</v>
      </c>
      <c r="B949" s="3">
        <v>0</v>
      </c>
      <c r="C949" s="3">
        <f>B949*$K$4</f>
        <v>0</v>
      </c>
      <c r="D949" s="3">
        <f>(E948/$K$1)*$K$2*1</f>
        <v>3.7354752593709041E-5</v>
      </c>
      <c r="E949" s="3">
        <f t="shared" si="28"/>
        <v>4.5986573885363029E-3</v>
      </c>
      <c r="F949" s="3">
        <f>E949/$K$1</f>
        <v>5.7005793833349479E-4</v>
      </c>
      <c r="G949" s="5">
        <f t="shared" si="29"/>
        <v>101324.99999857435</v>
      </c>
    </row>
    <row r="950" spans="1:7" x14ac:dyDescent="0.25">
      <c r="A950">
        <v>3348</v>
      </c>
      <c r="B950" s="3">
        <v>0</v>
      </c>
      <c r="C950" s="3">
        <f>B950*$K$4</f>
        <v>0</v>
      </c>
      <c r="D950" s="3">
        <f>(E949/$K$1)*$K$2*1</f>
        <v>3.7053765991677164E-5</v>
      </c>
      <c r="E950" s="3">
        <f t="shared" si="28"/>
        <v>4.5616036225446261E-3</v>
      </c>
      <c r="F950" s="3">
        <f>E950/$K$1</f>
        <v>5.6546468607222334E-4</v>
      </c>
      <c r="G950" s="5">
        <f t="shared" si="29"/>
        <v>101324.99999857435</v>
      </c>
    </row>
    <row r="951" spans="1:7" x14ac:dyDescent="0.25">
      <c r="A951">
        <v>3349</v>
      </c>
      <c r="B951" s="3">
        <v>0</v>
      </c>
      <c r="C951" s="3">
        <f>B951*$K$4</f>
        <v>0</v>
      </c>
      <c r="D951" s="3">
        <f>(E950/$K$1)*$K$2*1</f>
        <v>3.6755204594694522E-5</v>
      </c>
      <c r="E951" s="3">
        <f t="shared" si="28"/>
        <v>4.5248484179499313E-3</v>
      </c>
      <c r="F951" s="3">
        <f>E951/$K$1</f>
        <v>5.6090844402503174E-4</v>
      </c>
      <c r="G951" s="5">
        <f t="shared" si="29"/>
        <v>101324.99999857435</v>
      </c>
    </row>
    <row r="952" spans="1:7" x14ac:dyDescent="0.25">
      <c r="A952">
        <v>3350</v>
      </c>
      <c r="B952" s="3">
        <v>0</v>
      </c>
      <c r="C952" s="3">
        <f>B952*$K$4</f>
        <v>0</v>
      </c>
      <c r="D952" s="3">
        <f>(E951/$K$1)*$K$2*1</f>
        <v>3.6459048861627063E-5</v>
      </c>
      <c r="E952" s="3">
        <f t="shared" si="28"/>
        <v>4.4883893690883039E-3</v>
      </c>
      <c r="F952" s="3">
        <f>E952/$K$1</f>
        <v>5.5638891398144337E-4</v>
      </c>
      <c r="G952" s="5">
        <f t="shared" si="29"/>
        <v>101324.99999857435</v>
      </c>
    </row>
    <row r="953" spans="1:7" x14ac:dyDescent="0.25">
      <c r="A953">
        <v>3351</v>
      </c>
      <c r="B953" s="3">
        <v>0</v>
      </c>
      <c r="C953" s="3">
        <f>B953*$K$4</f>
        <v>0</v>
      </c>
      <c r="D953" s="3">
        <f>(E952/$K$1)*$K$2*1</f>
        <v>3.6165279408793821E-5</v>
      </c>
      <c r="E953" s="3">
        <f t="shared" si="28"/>
        <v>4.4522240896795098E-3</v>
      </c>
      <c r="F953" s="3">
        <f>E953/$K$1</f>
        <v>5.5190580013381803E-4</v>
      </c>
      <c r="G953" s="5">
        <f t="shared" si="29"/>
        <v>101324.99999857435</v>
      </c>
    </row>
    <row r="954" spans="1:7" x14ac:dyDescent="0.25">
      <c r="A954">
        <v>3352</v>
      </c>
      <c r="B954" s="3">
        <v>0</v>
      </c>
      <c r="C954" s="3">
        <f>B954*$K$4</f>
        <v>0</v>
      </c>
      <c r="D954" s="3">
        <f>(E953/$K$1)*$K$2*1</f>
        <v>3.5873877008698174E-5</v>
      </c>
      <c r="E954" s="3">
        <f t="shared" si="28"/>
        <v>4.4163502126708118E-3</v>
      </c>
      <c r="F954" s="3">
        <f>E954/$K$1</f>
        <v>5.4745880905799076E-4</v>
      </c>
      <c r="G954" s="5">
        <f t="shared" si="29"/>
        <v>101324.99999857435</v>
      </c>
    </row>
    <row r="955" spans="1:7" x14ac:dyDescent="0.25">
      <c r="A955">
        <v>3353</v>
      </c>
      <c r="B955" s="3">
        <v>0</v>
      </c>
      <c r="C955" s="3">
        <f>B955*$K$4</f>
        <v>0</v>
      </c>
      <c r="D955" s="3">
        <f>(E954/$K$1)*$K$2*1</f>
        <v>3.5584822588769402E-5</v>
      </c>
      <c r="E955" s="3">
        <f t="shared" si="28"/>
        <v>4.3807653900820422E-3</v>
      </c>
      <c r="F955" s="3">
        <f>E955/$K$1</f>
        <v>5.4304764969406749E-4</v>
      </c>
      <c r="G955" s="5">
        <f t="shared" si="29"/>
        <v>101324.99999857435</v>
      </c>
    </row>
    <row r="956" spans="1:7" x14ac:dyDescent="0.25">
      <c r="A956">
        <v>3354</v>
      </c>
      <c r="B956" s="3">
        <v>0</v>
      </c>
      <c r="C956" s="3">
        <f>B956*$K$4</f>
        <v>0</v>
      </c>
      <c r="D956" s="3">
        <f>(E955/$K$1)*$K$2*1</f>
        <v>3.5298097230114388E-5</v>
      </c>
      <c r="E956" s="3">
        <f t="shared" si="28"/>
        <v>4.345467292851928E-3</v>
      </c>
      <c r="F956" s="3">
        <f>E956/$K$1</f>
        <v>5.3867203332737419E-4</v>
      </c>
      <c r="G956" s="5">
        <f t="shared" si="29"/>
        <v>101324.99999857435</v>
      </c>
    </row>
    <row r="957" spans="1:7" x14ac:dyDescent="0.25">
      <c r="A957">
        <v>3355</v>
      </c>
      <c r="B957" s="3">
        <v>0</v>
      </c>
      <c r="C957" s="3">
        <f>B957*$K$4</f>
        <v>0</v>
      </c>
      <c r="D957" s="3">
        <f>(E956/$K$1)*$K$2*1</f>
        <v>3.5013682166279321E-5</v>
      </c>
      <c r="E957" s="3">
        <f t="shared" si="28"/>
        <v>4.3104536106856484E-3</v>
      </c>
      <c r="F957" s="3">
        <f>E957/$K$1</f>
        <v>5.34331673569561E-4</v>
      </c>
      <c r="G957" s="5">
        <f t="shared" si="29"/>
        <v>101324.99999857435</v>
      </c>
    </row>
    <row r="958" spans="1:7" x14ac:dyDescent="0.25">
      <c r="A958">
        <v>3356</v>
      </c>
      <c r="B958" s="3">
        <v>0</v>
      </c>
      <c r="C958" s="3">
        <f>B958*$K$4</f>
        <v>0</v>
      </c>
      <c r="D958" s="3">
        <f>(E957/$K$1)*$K$2*1</f>
        <v>3.4731558782021464E-5</v>
      </c>
      <c r="E958" s="3">
        <f t="shared" si="28"/>
        <v>4.2757220519036273E-3</v>
      </c>
      <c r="F958" s="3">
        <f>E958/$K$1</f>
        <v>5.3002628633985705E-4</v>
      </c>
      <c r="G958" s="5">
        <f t="shared" si="29"/>
        <v>101324.99999857435</v>
      </c>
    </row>
    <row r="959" spans="1:7" x14ac:dyDescent="0.25">
      <c r="A959">
        <v>3357</v>
      </c>
      <c r="B959" s="3">
        <v>0</v>
      </c>
      <c r="C959" s="3">
        <f>B959*$K$4</f>
        <v>0</v>
      </c>
      <c r="D959" s="3">
        <f>(E958/$K$1)*$K$2*1</f>
        <v>3.445170861209071E-5</v>
      </c>
      <c r="E959" s="3">
        <f t="shared" si="28"/>
        <v>4.2412703432915368E-3</v>
      </c>
      <c r="F959" s="3">
        <f>E959/$K$1</f>
        <v>5.257555898464778E-4</v>
      </c>
      <c r="G959" s="5">
        <f t="shared" si="29"/>
        <v>101324.99999857435</v>
      </c>
    </row>
    <row r="960" spans="1:7" x14ac:dyDescent="0.25">
      <c r="A960">
        <v>3358</v>
      </c>
      <c r="B960" s="3">
        <v>0</v>
      </c>
      <c r="C960" s="3">
        <f>B960*$K$4</f>
        <v>0</v>
      </c>
      <c r="D960" s="3">
        <f>(E959/$K$1)*$K$2*1</f>
        <v>3.4174113340021059E-5</v>
      </c>
      <c r="E960" s="3">
        <f t="shared" si="28"/>
        <v>4.2070962299515157E-3</v>
      </c>
      <c r="F960" s="3">
        <f>E960/$K$1</f>
        <v>5.2151930456818092E-4</v>
      </c>
      <c r="G960" s="5">
        <f t="shared" si="29"/>
        <v>101324.99999857435</v>
      </c>
    </row>
    <row r="961" spans="1:7" x14ac:dyDescent="0.25">
      <c r="A961">
        <v>3359</v>
      </c>
      <c r="B961" s="3">
        <v>0</v>
      </c>
      <c r="C961" s="3">
        <f>B961*$K$4</f>
        <v>0</v>
      </c>
      <c r="D961" s="3">
        <f>(E960/$K$1)*$K$2*1</f>
        <v>3.3898754796931764E-5</v>
      </c>
      <c r="E961" s="3">
        <f t="shared" si="28"/>
        <v>4.1731974751545841E-3</v>
      </c>
      <c r="F961" s="3">
        <f>E961/$K$1</f>
        <v>5.1731715323597176E-4</v>
      </c>
      <c r="G961" s="5">
        <f t="shared" si="29"/>
        <v>101324.99999857435</v>
      </c>
    </row>
    <row r="962" spans="1:7" x14ac:dyDescent="0.25">
      <c r="A962">
        <v>3360</v>
      </c>
      <c r="B962" s="3">
        <v>0</v>
      </c>
      <c r="C962" s="3">
        <f>B962*$K$4</f>
        <v>0</v>
      </c>
      <c r="D962" s="3">
        <f>(E961/$K$1)*$K$2*1</f>
        <v>3.3625614960338163E-5</v>
      </c>
      <c r="E962" s="3">
        <f t="shared" si="28"/>
        <v>4.1395718601942456E-3</v>
      </c>
      <c r="F962" s="3">
        <f>E962/$K$1</f>
        <v>5.131488608149554E-4</v>
      </c>
      <c r="G962" s="5">
        <f t="shared" si="29"/>
        <v>101324.99999857435</v>
      </c>
    </row>
    <row r="963" spans="1:7" x14ac:dyDescent="0.25">
      <c r="A963">
        <v>3361</v>
      </c>
      <c r="B963" s="3">
        <v>0</v>
      </c>
      <c r="C963" s="3">
        <f>B963*$K$4</f>
        <v>0</v>
      </c>
      <c r="D963" s="3">
        <f>(E962/$K$1)*$K$2*1</f>
        <v>3.3354675952972103E-5</v>
      </c>
      <c r="E963" s="3">
        <f t="shared" si="28"/>
        <v>4.1062171842412738E-3</v>
      </c>
      <c r="F963" s="3">
        <f>E963/$K$1</f>
        <v>5.0901415448633617E-4</v>
      </c>
      <c r="G963" s="5">
        <f t="shared" si="29"/>
        <v>101324.99999857435</v>
      </c>
    </row>
    <row r="964" spans="1:7" x14ac:dyDescent="0.25">
      <c r="A964">
        <v>3362</v>
      </c>
      <c r="B964" s="3">
        <v>0</v>
      </c>
      <c r="C964" s="3">
        <f>B964*$K$4</f>
        <v>0</v>
      </c>
      <c r="D964" s="3">
        <f>(E963/$K$1)*$K$2*1</f>
        <v>3.3085920041611851E-5</v>
      </c>
      <c r="E964" s="3">
        <f t="shared" ref="E964:E1027" si="30">E963+C964-D964</f>
        <v>4.0731312641996619E-3</v>
      </c>
      <c r="F964" s="3">
        <f>E964/$K$1</f>
        <v>5.0491276362956013E-4</v>
      </c>
      <c r="G964" s="5">
        <f t="shared" ref="G964:G1027" si="31">G963+C964-$K$5*$K$9*SQRT(MAX(0,2*$K$6*(G963-$K$11)))</f>
        <v>101324.99999857435</v>
      </c>
    </row>
    <row r="965" spans="1:7" x14ac:dyDescent="0.25">
      <c r="A965">
        <v>3363</v>
      </c>
      <c r="B965" s="3">
        <v>0</v>
      </c>
      <c r="C965" s="3">
        <f>B965*$K$4</f>
        <v>0</v>
      </c>
      <c r="D965" s="3">
        <f>(E964/$K$1)*$K$2*1</f>
        <v>3.2819329635921409E-5</v>
      </c>
      <c r="E965" s="3">
        <f t="shared" si="30"/>
        <v>4.0403119345637402E-3</v>
      </c>
      <c r="F965" s="3">
        <f>E965/$K$1</f>
        <v>5.0084441980460391E-4</v>
      </c>
      <c r="G965" s="5">
        <f t="shared" si="31"/>
        <v>101324.99999857435</v>
      </c>
    </row>
    <row r="966" spans="1:7" x14ac:dyDescent="0.25">
      <c r="A966">
        <v>3364</v>
      </c>
      <c r="B966" s="3">
        <v>0</v>
      </c>
      <c r="C966" s="3">
        <f>B966*$K$4</f>
        <v>0</v>
      </c>
      <c r="D966" s="3">
        <f>(E965/$K$1)*$K$2*1</f>
        <v>3.2554887287299258E-5</v>
      </c>
      <c r="E966" s="3">
        <f t="shared" si="30"/>
        <v>4.0077570472764413E-3</v>
      </c>
      <c r="F966" s="3">
        <f>E966/$K$1</f>
        <v>4.9680885673440451E-4</v>
      </c>
      <c r="G966" s="5">
        <f t="shared" si="31"/>
        <v>101324.99999857435</v>
      </c>
    </row>
    <row r="967" spans="1:7" x14ac:dyDescent="0.25">
      <c r="A967">
        <v>3365</v>
      </c>
      <c r="B967" s="3">
        <v>0</v>
      </c>
      <c r="C967" s="3">
        <f>B967*$K$4</f>
        <v>0</v>
      </c>
      <c r="D967" s="3">
        <f>(E966/$K$1)*$K$2*1</f>
        <v>3.2292575687736294E-5</v>
      </c>
      <c r="E967" s="3">
        <f t="shared" si="30"/>
        <v>3.9754644715887053E-3</v>
      </c>
      <c r="F967" s="3">
        <f>E967/$K$1</f>
        <v>4.9280581028743092E-4</v>
      </c>
      <c r="G967" s="5">
        <f t="shared" si="31"/>
        <v>101324.99999857435</v>
      </c>
    </row>
    <row r="968" spans="1:7" x14ac:dyDescent="0.25">
      <c r="A968">
        <v>3366</v>
      </c>
      <c r="B968" s="3">
        <v>0</v>
      </c>
      <c r="C968" s="3">
        <f>B968*$K$4</f>
        <v>0</v>
      </c>
      <c r="D968" s="3">
        <f>(E967/$K$1)*$K$2*1</f>
        <v>3.203237766868301E-5</v>
      </c>
      <c r="E968" s="3">
        <f t="shared" si="30"/>
        <v>3.9434320939200221E-3</v>
      </c>
      <c r="F968" s="3">
        <f>E968/$K$1</f>
        <v>4.8883501846039691E-4</v>
      </c>
      <c r="G968" s="5">
        <f t="shared" si="31"/>
        <v>101324.99999857435</v>
      </c>
    </row>
    <row r="969" spans="1:7" x14ac:dyDescent="0.25">
      <c r="A969">
        <v>3367</v>
      </c>
      <c r="B969" s="3">
        <v>0</v>
      </c>
      <c r="C969" s="3">
        <f>B969*$K$4</f>
        <v>0</v>
      </c>
      <c r="D969" s="3">
        <f>(E968/$K$1)*$K$2*1</f>
        <v>3.1774276199925803E-5</v>
      </c>
      <c r="E969" s="3">
        <f t="shared" si="30"/>
        <v>3.9116578177200963E-3</v>
      </c>
      <c r="F969" s="3">
        <f>E969/$K$1</f>
        <v>4.8489622136111272E-4</v>
      </c>
      <c r="G969" s="5">
        <f t="shared" si="31"/>
        <v>101324.99999857435</v>
      </c>
    </row>
    <row r="970" spans="1:7" x14ac:dyDescent="0.25">
      <c r="A970">
        <v>3368</v>
      </c>
      <c r="B970" s="3">
        <v>0</v>
      </c>
      <c r="C970" s="3">
        <f>B970*$K$4</f>
        <v>0</v>
      </c>
      <c r="D970" s="3">
        <f>(E969/$K$1)*$K$2*1</f>
        <v>3.1518254388472329E-5</v>
      </c>
      <c r="E970" s="3">
        <f t="shared" si="30"/>
        <v>3.8801395633316239E-3</v>
      </c>
      <c r="F970" s="3">
        <f>E970/$K$1</f>
        <v>4.8098916119147437E-4</v>
      </c>
      <c r="G970" s="5">
        <f t="shared" si="31"/>
        <v>101324.99999857435</v>
      </c>
    </row>
    <row r="971" spans="1:7" x14ac:dyDescent="0.25">
      <c r="A971">
        <v>3369</v>
      </c>
      <c r="B971" s="3">
        <v>0</v>
      </c>
      <c r="C971" s="3">
        <f>B971*$K$4</f>
        <v>0</v>
      </c>
      <c r="D971" s="3">
        <f>(E970/$K$1)*$K$2*1</f>
        <v>3.1264295477445833E-5</v>
      </c>
      <c r="E971" s="3">
        <f t="shared" si="30"/>
        <v>3.8488752678541779E-3</v>
      </c>
      <c r="F971" s="3">
        <f>E971/$K$1</f>
        <v>4.7711358223059103E-4</v>
      </c>
      <c r="G971" s="5">
        <f t="shared" si="31"/>
        <v>101324.99999857435</v>
      </c>
    </row>
    <row r="972" spans="1:7" x14ac:dyDescent="0.25">
      <c r="A972">
        <v>3370</v>
      </c>
      <c r="B972" s="3">
        <v>0</v>
      </c>
      <c r="C972" s="3">
        <f>B972*$K$4</f>
        <v>0</v>
      </c>
      <c r="D972" s="3">
        <f>(E971/$K$1)*$K$2*1</f>
        <v>3.1012382844988419E-5</v>
      </c>
      <c r="E972" s="3">
        <f t="shared" si="30"/>
        <v>3.8178628850091896E-3</v>
      </c>
      <c r="F972" s="3">
        <f>E972/$K$1</f>
        <v>4.7326923081804752E-4</v>
      </c>
      <c r="G972" s="5">
        <f t="shared" si="31"/>
        <v>101324.99999857435</v>
      </c>
    </row>
    <row r="973" spans="1:7" x14ac:dyDescent="0.25">
      <c r="A973">
        <v>3371</v>
      </c>
      <c r="B973" s="3">
        <v>0</v>
      </c>
      <c r="C973" s="3">
        <f>B973*$K$4</f>
        <v>0</v>
      </c>
      <c r="D973" s="3">
        <f>(E972/$K$1)*$K$2*1</f>
        <v>3.0762500003173089E-5</v>
      </c>
      <c r="E973" s="3">
        <f t="shared" si="30"/>
        <v>3.7871003850060165E-3</v>
      </c>
      <c r="F973" s="3">
        <f>E973/$K$1</f>
        <v>4.6945585533730215E-4</v>
      </c>
      <c r="G973" s="5">
        <f t="shared" si="31"/>
        <v>101324.99999857435</v>
      </c>
    </row>
    <row r="974" spans="1:7" x14ac:dyDescent="0.25">
      <c r="A974">
        <v>3372</v>
      </c>
      <c r="B974" s="3">
        <v>0</v>
      </c>
      <c r="C974" s="3">
        <f>B974*$K$4</f>
        <v>0</v>
      </c>
      <c r="D974" s="3">
        <f>(E973/$K$1)*$K$2*1</f>
        <v>3.0514630596924639E-5</v>
      </c>
      <c r="E974" s="3">
        <f t="shared" si="30"/>
        <v>3.7565857544090918E-3</v>
      </c>
      <c r="F974" s="3">
        <f>E974/$K$1</f>
        <v>4.6567320619921802E-4</v>
      </c>
      <c r="G974" s="5">
        <f t="shared" si="31"/>
        <v>101324.99999857435</v>
      </c>
    </row>
    <row r="975" spans="1:7" x14ac:dyDescent="0.25">
      <c r="A975">
        <v>3373</v>
      </c>
      <c r="B975" s="3">
        <v>0</v>
      </c>
      <c r="C975" s="3">
        <f>B975*$K$4</f>
        <v>0</v>
      </c>
      <c r="D975" s="3">
        <f>(E974/$K$1)*$K$2*1</f>
        <v>3.0268758402949171E-5</v>
      </c>
      <c r="E975" s="3">
        <f t="shared" si="30"/>
        <v>3.7263169960061425E-3</v>
      </c>
      <c r="F975" s="3">
        <f>E975/$K$1</f>
        <v>4.6192103582572732E-4</v>
      </c>
      <c r="G975" s="5">
        <f t="shared" si="31"/>
        <v>101324.99999857435</v>
      </c>
    </row>
    <row r="976" spans="1:7" x14ac:dyDescent="0.25">
      <c r="A976">
        <v>3374</v>
      </c>
      <c r="B976" s="3">
        <v>0</v>
      </c>
      <c r="C976" s="3">
        <f>B976*$K$4</f>
        <v>0</v>
      </c>
      <c r="D976" s="3">
        <f>(E975/$K$1)*$K$2*1</f>
        <v>3.0024867328672278E-5</v>
      </c>
      <c r="E976" s="3">
        <f t="shared" si="30"/>
        <v>3.69629212867747E-3</v>
      </c>
      <c r="F976" s="3">
        <f>E976/$K$1</f>
        <v>4.581990986336271E-4</v>
      </c>
      <c r="G976" s="5">
        <f t="shared" si="31"/>
        <v>101324.99999857435</v>
      </c>
    </row>
    <row r="977" spans="1:7" x14ac:dyDescent="0.25">
      <c r="A977">
        <v>3375</v>
      </c>
      <c r="B977" s="3">
        <v>0</v>
      </c>
      <c r="C977" s="3">
        <f>B977*$K$4</f>
        <v>0</v>
      </c>
      <c r="D977" s="3">
        <f>(E976/$K$1)*$K$2*1</f>
        <v>2.9782941411185762E-5</v>
      </c>
      <c r="E977" s="3">
        <f t="shared" si="30"/>
        <v>3.6665091872662842E-3</v>
      </c>
      <c r="F977" s="3">
        <f>E977/$K$1</f>
        <v>4.5450715101850553E-4</v>
      </c>
      <c r="G977" s="5">
        <f t="shared" si="31"/>
        <v>101324.99999857435</v>
      </c>
    </row>
    <row r="978" spans="1:7" x14ac:dyDescent="0.25">
      <c r="A978">
        <v>3376</v>
      </c>
      <c r="B978" s="3">
        <v>0</v>
      </c>
      <c r="C978" s="3">
        <f>B978*$K$4</f>
        <v>0</v>
      </c>
      <c r="D978" s="3">
        <f>(E977/$K$1)*$K$2*1</f>
        <v>2.9542964816202859E-5</v>
      </c>
      <c r="E978" s="3">
        <f t="shared" si="30"/>
        <v>3.6369662224500815E-3</v>
      </c>
      <c r="F978" s="3">
        <f>E978/$K$1</f>
        <v>4.5084495133879777E-4</v>
      </c>
      <c r="G978" s="5">
        <f t="shared" si="31"/>
        <v>101324.99999857435</v>
      </c>
    </row>
    <row r="979" spans="1:7" x14ac:dyDescent="0.25">
      <c r="A979">
        <v>3377</v>
      </c>
      <c r="B979" s="3">
        <v>0</v>
      </c>
      <c r="C979" s="3">
        <f>B979*$K$4</f>
        <v>0</v>
      </c>
      <c r="D979" s="3">
        <f>(E978/$K$1)*$K$2*1</f>
        <v>2.9304921837021857E-5</v>
      </c>
      <c r="E979" s="3">
        <f t="shared" si="30"/>
        <v>3.6076613006130595E-3</v>
      </c>
      <c r="F979" s="3">
        <f>E979/$K$1</f>
        <v>4.472122598999702E-4</v>
      </c>
      <c r="G979" s="5">
        <f t="shared" si="31"/>
        <v>101324.99999857435</v>
      </c>
    </row>
    <row r="980" spans="1:7" x14ac:dyDescent="0.25">
      <c r="A980">
        <v>3378</v>
      </c>
      <c r="B980" s="3">
        <v>0</v>
      </c>
      <c r="C980" s="3">
        <f>B980*$K$4</f>
        <v>0</v>
      </c>
      <c r="D980" s="3">
        <f>(E979/$K$1)*$K$2*1</f>
        <v>2.9068796893498065E-5</v>
      </c>
      <c r="E980" s="3">
        <f t="shared" si="30"/>
        <v>3.5785925037195615E-3</v>
      </c>
      <c r="F980" s="3">
        <f>E980/$K$1</f>
        <v>4.4360883893883248E-4</v>
      </c>
      <c r="G980" s="5">
        <f t="shared" si="31"/>
        <v>101324.99999857435</v>
      </c>
    </row>
    <row r="981" spans="1:7" x14ac:dyDescent="0.25">
      <c r="A981">
        <v>3379</v>
      </c>
      <c r="B981" s="3">
        <v>0</v>
      </c>
      <c r="C981" s="3">
        <f>B981*$K$4</f>
        <v>0</v>
      </c>
      <c r="D981" s="3">
        <f>(E980/$K$1)*$K$2*1</f>
        <v>2.8834574531024113E-5</v>
      </c>
      <c r="E981" s="3">
        <f t="shared" si="30"/>
        <v>3.5497579291885375E-3</v>
      </c>
      <c r="F981" s="3">
        <f>E981/$K$1</f>
        <v>4.4003445260797536E-4</v>
      </c>
      <c r="G981" s="5">
        <f t="shared" si="31"/>
        <v>101324.99999857435</v>
      </c>
    </row>
    <row r="982" spans="1:7" x14ac:dyDescent="0.25">
      <c r="A982">
        <v>3380</v>
      </c>
      <c r="B982" s="3">
        <v>0</v>
      </c>
      <c r="C982" s="3">
        <f>B982*$K$4</f>
        <v>0</v>
      </c>
      <c r="D982" s="3">
        <f>(E981/$K$1)*$K$2*1</f>
        <v>2.8602239419518399E-5</v>
      </c>
      <c r="E982" s="3">
        <f t="shared" si="30"/>
        <v>3.521155689769019E-3</v>
      </c>
      <c r="F982" s="3">
        <f>E982/$K$1</f>
        <v>4.3648886696033459E-4</v>
      </c>
      <c r="G982" s="5">
        <f t="shared" si="31"/>
        <v>101324.99999857435</v>
      </c>
    </row>
    <row r="983" spans="1:7" x14ac:dyDescent="0.25">
      <c r="A983">
        <v>3381</v>
      </c>
      <c r="B983" s="3">
        <v>0</v>
      </c>
      <c r="C983" s="3">
        <f>B983*$K$4</f>
        <v>0</v>
      </c>
      <c r="D983" s="3">
        <f>(E982/$K$1)*$K$2*1</f>
        <v>2.8371776352421748E-5</v>
      </c>
      <c r="E983" s="3">
        <f t="shared" si="30"/>
        <v>3.4927839134165973E-3</v>
      </c>
      <c r="F983" s="3">
        <f>E983/$K$1</f>
        <v>4.3297184993387842E-4</v>
      </c>
      <c r="G983" s="5">
        <f t="shared" si="31"/>
        <v>101324.99999857435</v>
      </c>
    </row>
    <row r="984" spans="1:7" x14ac:dyDescent="0.25">
      <c r="A984">
        <v>3382</v>
      </c>
      <c r="B984" s="3">
        <v>0</v>
      </c>
      <c r="C984" s="3">
        <f>B984*$K$4</f>
        <v>0</v>
      </c>
      <c r="D984" s="3">
        <f>(E983/$K$1)*$K$2*1</f>
        <v>2.8143170245702099E-5</v>
      </c>
      <c r="E984" s="3">
        <f t="shared" si="30"/>
        <v>3.4646407431708952E-3</v>
      </c>
      <c r="F984" s="3">
        <f>E984/$K$1</f>
        <v>4.2948317133641937E-4</v>
      </c>
      <c r="G984" s="5">
        <f t="shared" si="31"/>
        <v>101324.99999857435</v>
      </c>
    </row>
    <row r="985" spans="1:7" x14ac:dyDescent="0.25">
      <c r="A985">
        <v>3383</v>
      </c>
      <c r="B985" s="3">
        <v>0</v>
      </c>
      <c r="C985" s="3">
        <f>B985*$K$4</f>
        <v>0</v>
      </c>
      <c r="D985" s="3">
        <f>(E984/$K$1)*$K$2*1</f>
        <v>2.7916406136867259E-5</v>
      </c>
      <c r="E985" s="3">
        <f t="shared" si="30"/>
        <v>3.4367243370340278E-3</v>
      </c>
      <c r="F985" s="3">
        <f>E985/$K$1</f>
        <v>4.2602260283054765E-4</v>
      </c>
      <c r="G985" s="5">
        <f t="shared" si="31"/>
        <v>101324.99999857435</v>
      </c>
    </row>
    <row r="986" spans="1:7" x14ac:dyDescent="0.25">
      <c r="A986">
        <v>3384</v>
      </c>
      <c r="B986" s="3">
        <v>0</v>
      </c>
      <c r="C986" s="3">
        <f>B986*$K$4</f>
        <v>0</v>
      </c>
      <c r="D986" s="3">
        <f>(E985/$K$1)*$K$2*1</f>
        <v>2.7691469183985598E-5</v>
      </c>
      <c r="E986" s="3">
        <f t="shared" si="30"/>
        <v>3.409032867850042E-3</v>
      </c>
      <c r="F986" s="3">
        <f>E986/$K$1</f>
        <v>4.2258991791868623E-4</v>
      </c>
      <c r="G986" s="5">
        <f t="shared" si="31"/>
        <v>101324.99999857435</v>
      </c>
    </row>
    <row r="987" spans="1:7" x14ac:dyDescent="0.25">
      <c r="A987">
        <v>3385</v>
      </c>
      <c r="B987" s="3">
        <v>0</v>
      </c>
      <c r="C987" s="3">
        <f>B987*$K$4</f>
        <v>0</v>
      </c>
      <c r="D987" s="3">
        <f>(E986/$K$1)*$K$2*1</f>
        <v>2.7468344664714607E-5</v>
      </c>
      <c r="E987" s="3">
        <f t="shared" si="30"/>
        <v>3.3815645231853276E-3</v>
      </c>
      <c r="F987" s="3">
        <f>E987/$K$1</f>
        <v>4.1918489192826672E-4</v>
      </c>
      <c r="G987" s="5">
        <f t="shared" si="31"/>
        <v>101324.99999857435</v>
      </c>
    </row>
    <row r="988" spans="1:7" x14ac:dyDescent="0.25">
      <c r="A988">
        <v>3386</v>
      </c>
      <c r="B988" s="3">
        <v>0</v>
      </c>
      <c r="C988" s="3">
        <f>B988*$K$4</f>
        <v>0</v>
      </c>
      <c r="D988" s="3">
        <f>(E987/$K$1)*$K$2*1</f>
        <v>2.7247017975337339E-5</v>
      </c>
      <c r="E988" s="3">
        <f t="shared" si="30"/>
        <v>3.3543175052099905E-3</v>
      </c>
      <c r="F988" s="3">
        <f>E988/$K$1</f>
        <v>4.1580730199702371E-4</v>
      </c>
      <c r="G988" s="5">
        <f t="shared" si="31"/>
        <v>101324.99999857435</v>
      </c>
    </row>
    <row r="989" spans="1:7" x14ac:dyDescent="0.25">
      <c r="A989">
        <v>3387</v>
      </c>
      <c r="B989" s="3">
        <v>0</v>
      </c>
      <c r="C989" s="3">
        <f>B989*$K$4</f>
        <v>0</v>
      </c>
      <c r="D989" s="3">
        <f>(E988/$K$1)*$K$2*1</f>
        <v>2.7027474629806541E-5</v>
      </c>
      <c r="E989" s="3">
        <f t="shared" si="30"/>
        <v>3.3272900305801839E-3</v>
      </c>
      <c r="F989" s="3">
        <f>E989/$K$1</f>
        <v>4.1245692705840878E-4</v>
      </c>
      <c r="G989" s="5">
        <f t="shared" si="31"/>
        <v>101324.99999857435</v>
      </c>
    </row>
    <row r="990" spans="1:7" x14ac:dyDescent="0.25">
      <c r="A990">
        <v>3388</v>
      </c>
      <c r="B990" s="3">
        <v>0</v>
      </c>
      <c r="C990" s="3">
        <f>B990*$K$4</f>
        <v>0</v>
      </c>
      <c r="D990" s="3">
        <f>(E989/$K$1)*$K$2*1</f>
        <v>2.680970025879657E-5</v>
      </c>
      <c r="E990" s="3">
        <f t="shared" si="30"/>
        <v>3.3004803303213872E-3</v>
      </c>
      <c r="F990" s="3">
        <f>E990/$K$1</f>
        <v>4.0913354782712123E-4</v>
      </c>
      <c r="G990" s="5">
        <f t="shared" si="31"/>
        <v>101324.99999857435</v>
      </c>
    </row>
    <row r="991" spans="1:7" x14ac:dyDescent="0.25">
      <c r="A991">
        <v>3389</v>
      </c>
      <c r="B991" s="3">
        <v>0</v>
      </c>
      <c r="C991" s="3">
        <f>B991*$K$4</f>
        <v>0</v>
      </c>
      <c r="D991" s="3">
        <f>(E990/$K$1)*$K$2*1</f>
        <v>2.6593680608762882E-5</v>
      </c>
      <c r="E991" s="3">
        <f t="shared" si="30"/>
        <v>3.2738866497126241E-3</v>
      </c>
      <c r="F991" s="3">
        <f>E991/$K$1</f>
        <v>4.0583694678475565E-4</v>
      </c>
      <c r="G991" s="5">
        <f t="shared" si="31"/>
        <v>101324.99999857435</v>
      </c>
    </row>
    <row r="992" spans="1:7" x14ac:dyDescent="0.25">
      <c r="A992">
        <v>3390</v>
      </c>
      <c r="B992" s="3">
        <v>0</v>
      </c>
      <c r="C992" s="3">
        <f>B992*$K$4</f>
        <v>0</v>
      </c>
      <c r="D992" s="3">
        <f>(E991/$K$1)*$K$2*1</f>
        <v>2.6379401541009118E-5</v>
      </c>
      <c r="E992" s="3">
        <f t="shared" si="30"/>
        <v>3.2475072481716149E-3</v>
      </c>
      <c r="F992" s="3">
        <f>E992/$K$1</f>
        <v>4.0256690816556525E-4</v>
      </c>
      <c r="G992" s="5">
        <f t="shared" si="31"/>
        <v>101324.99999857435</v>
      </c>
    </row>
    <row r="993" spans="1:7" x14ac:dyDescent="0.25">
      <c r="A993">
        <v>3391</v>
      </c>
      <c r="B993" s="3">
        <v>0</v>
      </c>
      <c r="C993" s="3">
        <f>B993*$K$4</f>
        <v>0</v>
      </c>
      <c r="D993" s="3">
        <f>(E992/$K$1)*$K$2*1</f>
        <v>2.6166849030761742E-5</v>
      </c>
      <c r="E993" s="3">
        <f t="shared" si="30"/>
        <v>3.2213403991408532E-3</v>
      </c>
      <c r="F993" s="3">
        <f>E993/$K$1</f>
        <v>3.9932321794233956E-4</v>
      </c>
      <c r="G993" s="5">
        <f t="shared" si="31"/>
        <v>101324.99999857435</v>
      </c>
    </row>
    <row r="994" spans="1:7" x14ac:dyDescent="0.25">
      <c r="A994">
        <v>3392</v>
      </c>
      <c r="B994" s="3">
        <v>0</v>
      </c>
      <c r="C994" s="3">
        <f>B994*$K$4</f>
        <v>0</v>
      </c>
      <c r="D994" s="3">
        <f>(E993/$K$1)*$K$2*1</f>
        <v>2.5956009166252071E-5</v>
      </c>
      <c r="E994" s="3">
        <f t="shared" si="30"/>
        <v>3.1953843899746011E-3</v>
      </c>
      <c r="F994" s="3">
        <f>E994/$K$1</f>
        <v>3.9610566381239633E-4</v>
      </c>
      <c r="G994" s="5">
        <f t="shared" si="31"/>
        <v>101324.99999857435</v>
      </c>
    </row>
    <row r="995" spans="1:7" x14ac:dyDescent="0.25">
      <c r="A995">
        <v>3393</v>
      </c>
      <c r="B995" s="3">
        <v>0</v>
      </c>
      <c r="C995" s="3">
        <f>B995*$K$4</f>
        <v>0</v>
      </c>
      <c r="D995" s="3">
        <f>(E994/$K$1)*$K$2*1</f>
        <v>2.5746868147805763E-5</v>
      </c>
      <c r="E995" s="3">
        <f t="shared" si="30"/>
        <v>3.1696375218267952E-3</v>
      </c>
      <c r="F995" s="3">
        <f>E995/$K$1</f>
        <v>3.92914035183686E-4</v>
      </c>
      <c r="G995" s="5">
        <f t="shared" si="31"/>
        <v>101324.99999857435</v>
      </c>
    </row>
    <row r="996" spans="1:7" x14ac:dyDescent="0.25">
      <c r="A996">
        <v>3394</v>
      </c>
      <c r="B996" s="3">
        <v>0</v>
      </c>
      <c r="C996" s="3">
        <f>B996*$K$4</f>
        <v>0</v>
      </c>
      <c r="D996" s="3">
        <f>(E995/$K$1)*$K$2*1</f>
        <v>2.5539412286939591E-5</v>
      </c>
      <c r="E996" s="3">
        <f t="shared" si="30"/>
        <v>3.1440981095398556E-3</v>
      </c>
      <c r="F996" s="3">
        <f>E996/$K$1</f>
        <v>3.897481231610085E-4</v>
      </c>
      <c r="G996" s="5">
        <f t="shared" si="31"/>
        <v>101324.99999857435</v>
      </c>
    </row>
    <row r="997" spans="1:7" x14ac:dyDescent="0.25">
      <c r="A997">
        <v>3395</v>
      </c>
      <c r="B997" s="3">
        <v>0</v>
      </c>
      <c r="C997" s="3">
        <f>B997*$K$4</f>
        <v>0</v>
      </c>
      <c r="D997" s="3">
        <f>(E996/$K$1)*$K$2*1</f>
        <v>2.5333628005465552E-5</v>
      </c>
      <c r="E997" s="3">
        <f t="shared" si="30"/>
        <v>3.1187644815343901E-3</v>
      </c>
      <c r="F997" s="3">
        <f>E997/$K$1</f>
        <v>3.8660772053234041E-4</v>
      </c>
      <c r="G997" s="5">
        <f t="shared" si="31"/>
        <v>101324.99999857435</v>
      </c>
    </row>
    <row r="998" spans="1:7" x14ac:dyDescent="0.25">
      <c r="A998">
        <v>3396</v>
      </c>
      <c r="B998" s="3">
        <v>0</v>
      </c>
      <c r="C998" s="3">
        <f>B998*$K$4</f>
        <v>0</v>
      </c>
      <c r="D998" s="3">
        <f>(E997/$K$1)*$K$2*1</f>
        <v>2.5129501834602129E-5</v>
      </c>
      <c r="E998" s="3">
        <f t="shared" si="30"/>
        <v>3.0936349796997879E-3</v>
      </c>
      <c r="F998" s="3">
        <f>E998/$K$1</f>
        <v>3.8349262175527306E-4</v>
      </c>
      <c r="G998" s="5">
        <f t="shared" si="31"/>
        <v>101324.99999857435</v>
      </c>
    </row>
    <row r="999" spans="1:7" x14ac:dyDescent="0.25">
      <c r="A999">
        <v>3397</v>
      </c>
      <c r="B999" s="3">
        <v>0</v>
      </c>
      <c r="C999" s="3">
        <f>B999*$K$4</f>
        <v>0</v>
      </c>
      <c r="D999" s="3">
        <f>(E998/$K$1)*$K$2*1</f>
        <v>2.4927020414092749E-5</v>
      </c>
      <c r="E999" s="3">
        <f t="shared" si="30"/>
        <v>3.0687079592856951E-3</v>
      </c>
      <c r="F999" s="3">
        <f>E999/$K$1</f>
        <v>3.8040262294355959E-4</v>
      </c>
      <c r="G999" s="5">
        <f t="shared" si="31"/>
        <v>101324.99999857435</v>
      </c>
    </row>
    <row r="1000" spans="1:7" x14ac:dyDescent="0.25">
      <c r="A1000">
        <v>3398</v>
      </c>
      <c r="B1000" s="3">
        <v>0</v>
      </c>
      <c r="C1000" s="3">
        <f>B1000*$K$4</f>
        <v>0</v>
      </c>
      <c r="D1000" s="3">
        <f>(E999/$K$1)*$K$2*1</f>
        <v>2.4726170491331373E-5</v>
      </c>
      <c r="E1000" s="3">
        <f t="shared" si="30"/>
        <v>3.0439817887943639E-3</v>
      </c>
      <c r="F1000" s="3">
        <f>E1000/$K$1</f>
        <v>3.7733752185377015E-4</v>
      </c>
      <c r="G1000" s="5">
        <f t="shared" si="31"/>
        <v>101324.99999857435</v>
      </c>
    </row>
    <row r="1001" spans="1:7" x14ac:dyDescent="0.25">
      <c r="A1001">
        <v>3399</v>
      </c>
      <c r="B1001" s="3">
        <v>0</v>
      </c>
      <c r="C1001" s="3">
        <f>B1001*$K$4</f>
        <v>0</v>
      </c>
      <c r="D1001" s="3">
        <f>(E1000/$K$1)*$K$2*1</f>
        <v>2.4526938920495062E-5</v>
      </c>
      <c r="E1001" s="3">
        <f t="shared" si="30"/>
        <v>3.0194548498738687E-3</v>
      </c>
      <c r="F1001" s="3">
        <f>E1001/$K$1</f>
        <v>3.742971178720551E-4</v>
      </c>
      <c r="G1001" s="5">
        <f t="shared" si="31"/>
        <v>101324.99999857435</v>
      </c>
    </row>
    <row r="1002" spans="1:7" x14ac:dyDescent="0.25">
      <c r="A1002">
        <v>3400</v>
      </c>
      <c r="B1002" s="3">
        <v>0</v>
      </c>
      <c r="C1002" s="3">
        <f>B1002*$K$4</f>
        <v>0</v>
      </c>
      <c r="D1002" s="3">
        <f>(E1001/$K$1)*$K$2*1</f>
        <v>2.4329312661683582E-5</v>
      </c>
      <c r="E1002" s="3">
        <f t="shared" si="30"/>
        <v>2.9951255372121853E-3</v>
      </c>
      <c r="F1002" s="3">
        <f>E1002/$K$1</f>
        <v>3.7128121200101467E-4</v>
      </c>
      <c r="G1002" s="5">
        <f t="shared" si="31"/>
        <v>101324.99999857435</v>
      </c>
    </row>
    <row r="1003" spans="1:7" x14ac:dyDescent="0.25">
      <c r="A1003">
        <v>3401</v>
      </c>
      <c r="B1003" s="3">
        <v>0</v>
      </c>
      <c r="C1003" s="3">
        <f>B1003*$K$4</f>
        <v>0</v>
      </c>
      <c r="D1003" s="3">
        <f>(E1002/$K$1)*$K$2*1</f>
        <v>2.4133278780065955E-5</v>
      </c>
      <c r="E1003" s="3">
        <f t="shared" si="30"/>
        <v>2.9709922584321194E-3</v>
      </c>
      <c r="F1003" s="3">
        <f>E1003/$K$1</f>
        <v>3.6828960684667404E-4</v>
      </c>
      <c r="G1003" s="5">
        <f t="shared" si="31"/>
        <v>101324.99999857435</v>
      </c>
    </row>
    <row r="1004" spans="1:7" x14ac:dyDescent="0.25">
      <c r="A1004">
        <v>3402</v>
      </c>
      <c r="B1004" s="3">
        <v>0</v>
      </c>
      <c r="C1004" s="3">
        <f>B1004*$K$4</f>
        <v>0</v>
      </c>
      <c r="D1004" s="3">
        <f>(E1003/$K$1)*$K$2*1</f>
        <v>2.3938824445033812E-5</v>
      </c>
      <c r="E1004" s="3">
        <f t="shared" si="30"/>
        <v>2.9470534339870857E-3</v>
      </c>
      <c r="F1004" s="3">
        <f>E1004/$K$1</f>
        <v>3.6532210660556412E-4</v>
      </c>
      <c r="G1004" s="5">
        <f t="shared" si="31"/>
        <v>101324.99999857435</v>
      </c>
    </row>
    <row r="1005" spans="1:7" x14ac:dyDescent="0.25">
      <c r="A1005">
        <v>3403</v>
      </c>
      <c r="B1005" s="3">
        <v>0</v>
      </c>
      <c r="C1005" s="3">
        <f>B1005*$K$4</f>
        <v>0</v>
      </c>
      <c r="D1005" s="3">
        <f>(E1004/$K$1)*$K$2*1</f>
        <v>2.3745936929361667E-5</v>
      </c>
      <c r="E1005" s="3">
        <f t="shared" si="30"/>
        <v>2.923307497057724E-3</v>
      </c>
      <c r="F1005" s="3">
        <f>E1005/$K$1</f>
        <v>3.623785170519058E-4</v>
      </c>
      <c r="G1005" s="5">
        <f t="shared" si="31"/>
        <v>101324.99999857435</v>
      </c>
    </row>
    <row r="1006" spans="1:7" x14ac:dyDescent="0.25">
      <c r="A1006">
        <v>3404</v>
      </c>
      <c r="B1006" s="3">
        <v>0</v>
      </c>
      <c r="C1006" s="3">
        <f>B1006*$K$4</f>
        <v>0</v>
      </c>
      <c r="D1006" s="3">
        <f>(E1005/$K$1)*$K$2*1</f>
        <v>2.3554603608373877E-5</v>
      </c>
      <c r="E1006" s="3">
        <f t="shared" si="30"/>
        <v>2.8997528934493499E-3</v>
      </c>
      <c r="F1006" s="3">
        <f>E1006/$K$1</f>
        <v>3.594586455248977E-4</v>
      </c>
      <c r="G1006" s="5">
        <f t="shared" si="31"/>
        <v>101324.99999857435</v>
      </c>
    </row>
    <row r="1007" spans="1:7" x14ac:dyDescent="0.25">
      <c r="A1007">
        <v>3405</v>
      </c>
      <c r="B1007" s="3">
        <v>0</v>
      </c>
      <c r="C1007" s="3">
        <f>B1007*$K$4</f>
        <v>0</v>
      </c>
      <c r="D1007" s="3">
        <f>(E1006/$K$1)*$K$2*1</f>
        <v>2.3364811959118351E-5</v>
      </c>
      <c r="E1007" s="3">
        <f t="shared" si="30"/>
        <v>2.8763880814902314E-3</v>
      </c>
      <c r="F1007" s="3">
        <f>E1007/$K$1</f>
        <v>3.5656230091610653E-4</v>
      </c>
      <c r="G1007" s="5">
        <f t="shared" si="31"/>
        <v>101324.99999857435</v>
      </c>
    </row>
    <row r="1008" spans="1:7" x14ac:dyDescent="0.25">
      <c r="A1008">
        <v>3406</v>
      </c>
      <c r="B1008" s="3">
        <v>0</v>
      </c>
      <c r="C1008" s="3">
        <f>B1008*$K$4</f>
        <v>0</v>
      </c>
      <c r="D1008" s="3">
        <f>(E1007/$K$1)*$K$2*1</f>
        <v>2.3176549559546924E-5</v>
      </c>
      <c r="E1008" s="3">
        <f t="shared" si="30"/>
        <v>2.8532115319306844E-3</v>
      </c>
      <c r="F1008" s="3">
        <f>E1008/$K$1</f>
        <v>3.5368929365695853E-4</v>
      </c>
      <c r="G1008" s="5">
        <f t="shared" si="31"/>
        <v>101324.99999857435</v>
      </c>
    </row>
    <row r="1009" spans="1:7" x14ac:dyDescent="0.25">
      <c r="A1009">
        <v>3407</v>
      </c>
      <c r="B1009" s="3">
        <v>0</v>
      </c>
      <c r="C1009" s="3">
        <f>B1009*$K$4</f>
        <v>0</v>
      </c>
      <c r="D1009" s="3">
        <f>(E1008/$K$1)*$K$2*1</f>
        <v>2.2989804087702305E-5</v>
      </c>
      <c r="E1009" s="3">
        <f t="shared" si="30"/>
        <v>2.830221727842982E-3</v>
      </c>
      <c r="F1009" s="3">
        <f>E1009/$K$1</f>
        <v>3.5083943570633221E-4</v>
      </c>
      <c r="G1009" s="5">
        <f t="shared" si="31"/>
        <v>101324.99999857435</v>
      </c>
    </row>
    <row r="1010" spans="1:7" x14ac:dyDescent="0.25">
      <c r="A1010">
        <v>3408</v>
      </c>
      <c r="B1010" s="3">
        <v>0</v>
      </c>
      <c r="C1010" s="3">
        <f>B1010*$K$4</f>
        <v>0</v>
      </c>
      <c r="D1010" s="3">
        <f>(E1009/$K$1)*$K$2*1</f>
        <v>2.2804563320911596E-5</v>
      </c>
      <c r="E1010" s="3">
        <f t="shared" si="30"/>
        <v>2.8074171645220704E-3</v>
      </c>
      <c r="F1010" s="3">
        <f>E1010/$K$1</f>
        <v>3.4801254053825096E-4</v>
      </c>
      <c r="G1010" s="5">
        <f t="shared" si="31"/>
        <v>101324.99999857435</v>
      </c>
    </row>
    <row r="1011" spans="1:7" x14ac:dyDescent="0.25">
      <c r="A1011">
        <v>3409</v>
      </c>
      <c r="B1011" s="3">
        <v>0</v>
      </c>
      <c r="C1011" s="3">
        <f>B1011*$K$4</f>
        <v>0</v>
      </c>
      <c r="D1011" s="3">
        <f>(E1010/$K$1)*$K$2*1</f>
        <v>2.2620815134986314E-5</v>
      </c>
      <c r="E1011" s="3">
        <f t="shared" si="30"/>
        <v>2.7847963493870839E-3</v>
      </c>
      <c r="F1011" s="3">
        <f>E1011/$K$1</f>
        <v>3.4520842312967448E-4</v>
      </c>
      <c r="G1011" s="5">
        <f t="shared" si="31"/>
        <v>101324.99999857435</v>
      </c>
    </row>
    <row r="1012" spans="1:7" x14ac:dyDescent="0.25">
      <c r="A1012">
        <v>3410</v>
      </c>
      <c r="B1012" s="3">
        <v>0</v>
      </c>
      <c r="C1012" s="3">
        <f>B1012*$K$4</f>
        <v>0</v>
      </c>
      <c r="D1012" s="3">
        <f>(E1011/$K$1)*$K$2*1</f>
        <v>2.2438547503428842E-5</v>
      </c>
      <c r="E1012" s="3">
        <f t="shared" si="30"/>
        <v>2.762357801883655E-3</v>
      </c>
      <c r="F1012" s="3">
        <f>E1012/$K$1</f>
        <v>3.4242689994838909E-4</v>
      </c>
      <c r="G1012" s="5">
        <f t="shared" si="31"/>
        <v>101324.99999857435</v>
      </c>
    </row>
    <row r="1013" spans="1:7" x14ac:dyDescent="0.25">
      <c r="A1013">
        <v>3411</v>
      </c>
      <c r="B1013" s="3">
        <v>0</v>
      </c>
      <c r="C1013" s="3">
        <f>B1013*$K$4</f>
        <v>0</v>
      </c>
      <c r="D1013" s="3">
        <f>(E1012/$K$1)*$K$2*1</f>
        <v>2.225774849664529E-5</v>
      </c>
      <c r="E1013" s="3">
        <f t="shared" si="30"/>
        <v>2.7401000533870097E-3</v>
      </c>
      <c r="F1013" s="3">
        <f>E1013/$K$1</f>
        <v>3.3966778894099536E-4</v>
      </c>
      <c r="G1013" s="5">
        <f t="shared" si="31"/>
        <v>101324.99999857435</v>
      </c>
    </row>
    <row r="1014" spans="1:7" x14ac:dyDescent="0.25">
      <c r="A1014">
        <v>3412</v>
      </c>
      <c r="B1014" s="3">
        <v>0</v>
      </c>
      <c r="C1014" s="3">
        <f>B1014*$K$4</f>
        <v>0</v>
      </c>
      <c r="D1014" s="3">
        <f>(E1013/$K$1)*$K$2*1</f>
        <v>2.2078406281164701E-5</v>
      </c>
      <c r="E1014" s="3">
        <f t="shared" si="30"/>
        <v>2.7180216471058452E-3</v>
      </c>
      <c r="F1014" s="3">
        <f>E1014/$K$1</f>
        <v>3.3693090952099231E-4</v>
      </c>
      <c r="G1014" s="5">
        <f t="shared" si="31"/>
        <v>101324.99999857435</v>
      </c>
    </row>
    <row r="1015" spans="1:7" x14ac:dyDescent="0.25">
      <c r="A1015">
        <v>3413</v>
      </c>
      <c r="B1015" s="3">
        <v>0</v>
      </c>
      <c r="C1015" s="3">
        <f>B1015*$K$4</f>
        <v>0</v>
      </c>
      <c r="D1015" s="3">
        <f>(E1014/$K$1)*$K$2*1</f>
        <v>2.1900509118864502E-5</v>
      </c>
      <c r="E1015" s="3">
        <f t="shared" si="30"/>
        <v>2.6961211379869809E-3</v>
      </c>
      <c r="F1015" s="3">
        <f>E1015/$K$1</f>
        <v>3.342160825569581E-4</v>
      </c>
      <c r="G1015" s="5">
        <f t="shared" si="31"/>
        <v>101324.99999857435</v>
      </c>
    </row>
    <row r="1016" spans="1:7" x14ac:dyDescent="0.25">
      <c r="A1016">
        <v>3414</v>
      </c>
      <c r="B1016" s="3">
        <v>0</v>
      </c>
      <c r="C1016" s="3">
        <f>B1016*$K$4</f>
        <v>0</v>
      </c>
      <c r="D1016" s="3">
        <f>(E1015/$K$1)*$K$2*1</f>
        <v>2.1724045366202278E-5</v>
      </c>
      <c r="E1016" s="3">
        <f t="shared" si="30"/>
        <v>2.6743970926207785E-3</v>
      </c>
      <c r="F1016" s="3">
        <f>E1016/$K$1</f>
        <v>3.315231303608254E-4</v>
      </c>
      <c r="G1016" s="5">
        <f t="shared" si="31"/>
        <v>101324.99999857435</v>
      </c>
    </row>
    <row r="1017" spans="1:7" x14ac:dyDescent="0.25">
      <c r="A1017">
        <v>3415</v>
      </c>
      <c r="B1017" s="3">
        <v>0</v>
      </c>
      <c r="C1017" s="3">
        <f>B1017*$K$4</f>
        <v>0</v>
      </c>
      <c r="D1017" s="3">
        <f>(E1016/$K$1)*$K$2*1</f>
        <v>2.1549003473453651E-5</v>
      </c>
      <c r="E1017" s="3">
        <f t="shared" si="30"/>
        <v>2.6528480891473247E-3</v>
      </c>
      <c r="F1017" s="3">
        <f>E1017/$K$1</f>
        <v>3.2885187667625195E-4</v>
      </c>
      <c r="G1017" s="5">
        <f t="shared" si="31"/>
        <v>101324.99999857435</v>
      </c>
    </row>
    <row r="1018" spans="1:7" x14ac:dyDescent="0.25">
      <c r="A1018">
        <v>3416</v>
      </c>
      <c r="B1018" s="3">
        <v>0</v>
      </c>
      <c r="C1018" s="3">
        <f>B1018*$K$4</f>
        <v>0</v>
      </c>
      <c r="D1018" s="3">
        <f>(E1017/$K$1)*$K$2*1</f>
        <v>2.1375371983956378E-5</v>
      </c>
      <c r="E1018" s="3">
        <f t="shared" si="30"/>
        <v>2.6314727171633683E-3</v>
      </c>
      <c r="F1018" s="3">
        <f>E1018/$K$1</f>
        <v>3.2620214666708423E-4</v>
      </c>
      <c r="G1018" s="5">
        <f t="shared" si="31"/>
        <v>101324.99999857435</v>
      </c>
    </row>
    <row r="1019" spans="1:7" x14ac:dyDescent="0.25">
      <c r="A1019">
        <v>3417</v>
      </c>
      <c r="B1019" s="3">
        <v>0</v>
      </c>
      <c r="C1019" s="3">
        <f>B1019*$K$4</f>
        <v>0</v>
      </c>
      <c r="D1019" s="3">
        <f>(E1018/$K$1)*$K$2*1</f>
        <v>2.1203139533360476E-5</v>
      </c>
      <c r="E1019" s="3">
        <f t="shared" si="30"/>
        <v>2.6102695776300078E-3</v>
      </c>
      <c r="F1019" s="3">
        <f>E1019/$K$1</f>
        <v>3.2357376690591395E-4</v>
      </c>
      <c r="G1019" s="5">
        <f t="shared" si="31"/>
        <v>101324.99999857435</v>
      </c>
    </row>
    <row r="1020" spans="1:7" x14ac:dyDescent="0.25">
      <c r="A1020">
        <v>3418</v>
      </c>
      <c r="B1020" s="3">
        <v>0</v>
      </c>
      <c r="C1020" s="3">
        <f>B1020*$K$4</f>
        <v>0</v>
      </c>
      <c r="D1020" s="3">
        <f>(E1019/$K$1)*$K$2*1</f>
        <v>2.1032294848884408E-5</v>
      </c>
      <c r="E1020" s="3">
        <f t="shared" si="30"/>
        <v>2.5892372827811235E-3</v>
      </c>
      <c r="F1020" s="3">
        <f>E1020/$K$1</f>
        <v>3.2096656536272761E-4</v>
      </c>
      <c r="G1020" s="5">
        <f t="shared" si="31"/>
        <v>101324.99999857435</v>
      </c>
    </row>
    <row r="1021" spans="1:7" x14ac:dyDescent="0.25">
      <c r="A1021">
        <v>3419</v>
      </c>
      <c r="B1021" s="3">
        <v>0</v>
      </c>
      <c r="C1021" s="3">
        <f>B1021*$K$4</f>
        <v>0</v>
      </c>
      <c r="D1021" s="3">
        <f>(E1020/$K$1)*$K$2*1</f>
        <v>2.0862826748577294E-5</v>
      </c>
      <c r="E1021" s="3">
        <f t="shared" si="30"/>
        <v>2.5683744560325464E-3</v>
      </c>
      <c r="F1021" s="3">
        <f>E1021/$K$1</f>
        <v>3.1838037139364652E-4</v>
      </c>
      <c r="G1021" s="5">
        <f t="shared" si="31"/>
        <v>101324.99999857435</v>
      </c>
    </row>
    <row r="1022" spans="1:7" x14ac:dyDescent="0.25">
      <c r="A1022">
        <v>3420</v>
      </c>
      <c r="B1022" s="3">
        <v>0</v>
      </c>
      <c r="C1022" s="3">
        <f>B1022*$K$4</f>
        <v>0</v>
      </c>
      <c r="D1022" s="3">
        <f>(E1021/$K$1)*$K$2*1</f>
        <v>2.0694724140587024E-5</v>
      </c>
      <c r="E1022" s="3">
        <f t="shared" si="30"/>
        <v>2.5476797318919595E-3</v>
      </c>
      <c r="F1022" s="3">
        <f>E1022/$K$1</f>
        <v>3.1581501572975821E-4</v>
      </c>
      <c r="G1022" s="5">
        <f t="shared" si="31"/>
        <v>101324.99999857435</v>
      </c>
    </row>
    <row r="1023" spans="1:7" x14ac:dyDescent="0.25">
      <c r="A1023">
        <v>3421</v>
      </c>
      <c r="B1023" s="3">
        <v>0</v>
      </c>
      <c r="C1023" s="3">
        <f>B1023*$K$4</f>
        <v>0</v>
      </c>
      <c r="D1023" s="3">
        <f>(E1022/$K$1)*$K$2*1</f>
        <v>2.0527976022434283E-5</v>
      </c>
      <c r="E1023" s="3">
        <f t="shared" si="30"/>
        <v>2.5271517558695254E-3</v>
      </c>
      <c r="F1023" s="3">
        <f>E1023/$K$1</f>
        <v>3.1327033046603761E-4</v>
      </c>
      <c r="G1023" s="5">
        <f t="shared" si="31"/>
        <v>101324.99999857435</v>
      </c>
    </row>
    <row r="1024" spans="1:7" x14ac:dyDescent="0.25">
      <c r="A1024">
        <v>3422</v>
      </c>
      <c r="B1024" s="3">
        <v>0</v>
      </c>
      <c r="C1024" s="3">
        <f>B1024*$K$4</f>
        <v>0</v>
      </c>
      <c r="D1024" s="3">
        <f>(E1023/$K$1)*$K$2*1</f>
        <v>2.0362571480292446E-5</v>
      </c>
      <c r="E1024" s="3">
        <f t="shared" si="30"/>
        <v>2.5067891843892332E-3</v>
      </c>
      <c r="F1024" s="3">
        <f>E1024/$K$1</f>
        <v>3.1074614905035738E-4</v>
      </c>
      <c r="G1024" s="5">
        <f t="shared" si="31"/>
        <v>101324.99999857435</v>
      </c>
    </row>
    <row r="1025" spans="1:7" x14ac:dyDescent="0.25">
      <c r="A1025">
        <v>3423</v>
      </c>
      <c r="B1025" s="3">
        <v>0</v>
      </c>
      <c r="C1025" s="3">
        <f>B1025*$K$4</f>
        <v>0</v>
      </c>
      <c r="D1025" s="3">
        <f>(E1024/$K$1)*$K$2*1</f>
        <v>2.019849968827323E-5</v>
      </c>
      <c r="E1025" s="3">
        <f t="shared" si="30"/>
        <v>2.4865906847009599E-3</v>
      </c>
      <c r="F1025" s="3">
        <f>E1025/$K$1</f>
        <v>3.0824230627258707E-4</v>
      </c>
      <c r="G1025" s="5">
        <f t="shared" si="31"/>
        <v>101324.99999857435</v>
      </c>
    </row>
    <row r="1026" spans="1:7" x14ac:dyDescent="0.25">
      <c r="A1026">
        <v>3424</v>
      </c>
      <c r="B1026" s="3">
        <v>0</v>
      </c>
      <c r="C1026" s="3">
        <f>B1026*$K$4</f>
        <v>0</v>
      </c>
      <c r="D1026" s="3">
        <f>(E1025/$K$1)*$K$2*1</f>
        <v>2.0035749907718161E-5</v>
      </c>
      <c r="E1026" s="3">
        <f t="shared" si="30"/>
        <v>2.4665549347932417E-3</v>
      </c>
      <c r="F1026" s="3">
        <f>E1026/$K$1</f>
        <v>3.0575863825377979E-4</v>
      </c>
      <c r="G1026" s="5">
        <f t="shared" si="31"/>
        <v>101324.99999857435</v>
      </c>
    </row>
    <row r="1027" spans="1:7" x14ac:dyDescent="0.25">
      <c r="A1027">
        <v>3425</v>
      </c>
      <c r="B1027" s="3">
        <v>0</v>
      </c>
      <c r="C1027" s="3">
        <f>B1027*$K$4</f>
        <v>0</v>
      </c>
      <c r="D1027" s="3">
        <f>(E1026/$K$1)*$K$2*1</f>
        <v>1.9874311486495688E-5</v>
      </c>
      <c r="E1027" s="3">
        <f t="shared" si="30"/>
        <v>2.4466806233067462E-3</v>
      </c>
      <c r="F1027" s="3">
        <f>E1027/$K$1</f>
        <v>3.0329498243544638E-4</v>
      </c>
      <c r="G1027" s="5">
        <f t="shared" si="31"/>
        <v>101324.99999857435</v>
      </c>
    </row>
    <row r="1028" spans="1:7" x14ac:dyDescent="0.25">
      <c r="A1028">
        <v>3426</v>
      </c>
      <c r="B1028" s="3">
        <v>0</v>
      </c>
      <c r="C1028" s="3">
        <f>B1028*$K$4</f>
        <v>0</v>
      </c>
      <c r="D1028" s="3">
        <f>(E1027/$K$1)*$K$2*1</f>
        <v>1.9714173858304016E-5</v>
      </c>
      <c r="E1028" s="3">
        <f t="shared" ref="E1028:E1091" si="32">E1027+C1028-D1028</f>
        <v>2.426966449448442E-3</v>
      </c>
      <c r="F1028" s="3">
        <f>E1028/$K$1</f>
        <v>3.0085117756891555E-4</v>
      </c>
      <c r="G1028" s="5">
        <f t="shared" ref="G1028:G1091" si="33">G1027+C1028-$K$5*$K$9*SQRT(MAX(0,2*$K$6*(G1027-$K$11)))</f>
        <v>101324.99999857435</v>
      </c>
    </row>
    <row r="1029" spans="1:7" x14ac:dyDescent="0.25">
      <c r="A1029">
        <v>3427</v>
      </c>
      <c r="B1029" s="3">
        <v>0</v>
      </c>
      <c r="C1029" s="3">
        <f>B1029*$K$4</f>
        <v>0</v>
      </c>
      <c r="D1029" s="3">
        <f>(E1028/$K$1)*$K$2*1</f>
        <v>1.9555326541979513E-5</v>
      </c>
      <c r="E1029" s="3">
        <f t="shared" si="32"/>
        <v>2.4074111229064627E-3</v>
      </c>
      <c r="F1029" s="3">
        <f>E1029/$K$1</f>
        <v>2.9842706370478031E-4</v>
      </c>
      <c r="G1029" s="5">
        <f t="shared" si="33"/>
        <v>101324.99999857435</v>
      </c>
    </row>
    <row r="1030" spans="1:7" x14ac:dyDescent="0.25">
      <c r="A1030">
        <v>3428</v>
      </c>
      <c r="B1030" s="3">
        <v>0</v>
      </c>
      <c r="C1030" s="3">
        <f>B1030*$K$4</f>
        <v>0</v>
      </c>
      <c r="D1030" s="3">
        <f>(E1029/$K$1)*$K$2*1</f>
        <v>1.939775914081072E-5</v>
      </c>
      <c r="E1030" s="3">
        <f t="shared" si="32"/>
        <v>2.3880133637656522E-3</v>
      </c>
      <c r="F1030" s="3">
        <f>E1030/$K$1</f>
        <v>2.960224821824287E-4</v>
      </c>
      <c r="G1030" s="5">
        <f t="shared" si="33"/>
        <v>101324.99999857435</v>
      </c>
    </row>
    <row r="1031" spans="1:7" x14ac:dyDescent="0.25">
      <c r="A1031">
        <v>3429</v>
      </c>
      <c r="B1031" s="3">
        <v>0</v>
      </c>
      <c r="C1031" s="3">
        <f>B1031*$K$4</f>
        <v>0</v>
      </c>
      <c r="D1031" s="3">
        <f>(E1030/$K$1)*$K$2*1</f>
        <v>1.9241461341857868E-5</v>
      </c>
      <c r="E1031" s="3">
        <f t="shared" si="32"/>
        <v>2.3687719024237941E-3</v>
      </c>
      <c r="F1031" s="3">
        <f>E1031/$K$1</f>
        <v>2.936372756196596E-4</v>
      </c>
      <c r="G1031" s="5">
        <f t="shared" si="33"/>
        <v>101324.99999857435</v>
      </c>
    </row>
    <row r="1032" spans="1:7" x14ac:dyDescent="0.25">
      <c r="A1032">
        <v>3430</v>
      </c>
      <c r="B1032" s="3">
        <v>0</v>
      </c>
      <c r="C1032" s="3">
        <f>B1032*$K$4</f>
        <v>0</v>
      </c>
      <c r="D1032" s="3">
        <f>(E1031/$K$1)*$K$2*1</f>
        <v>1.9086422915277874E-5</v>
      </c>
      <c r="E1032" s="3">
        <f t="shared" si="32"/>
        <v>2.349685479508516E-3</v>
      </c>
      <c r="F1032" s="3">
        <f>E1032/$K$1</f>
        <v>2.9127128790238207E-4</v>
      </c>
      <c r="G1032" s="5">
        <f t="shared" si="33"/>
        <v>101324.99999857435</v>
      </c>
    </row>
    <row r="1033" spans="1:7" x14ac:dyDescent="0.25">
      <c r="A1033">
        <v>3431</v>
      </c>
      <c r="B1033" s="3">
        <v>0</v>
      </c>
      <c r="C1033" s="3">
        <f>B1033*$K$4</f>
        <v>0</v>
      </c>
      <c r="D1033" s="3">
        <f>(E1032/$K$1)*$K$2*1</f>
        <v>1.8932633713654836E-5</v>
      </c>
      <c r="E1033" s="3">
        <f t="shared" si="32"/>
        <v>2.3307528457948614E-3</v>
      </c>
      <c r="F1033" s="3">
        <f>E1033/$K$1</f>
        <v>2.889243641743971E-4</v>
      </c>
      <c r="G1033" s="5">
        <f t="shared" si="33"/>
        <v>101324.99999857435</v>
      </c>
    </row>
    <row r="1034" spans="1:7" x14ac:dyDescent="0.25">
      <c r="A1034">
        <v>3432</v>
      </c>
      <c r="B1034" s="3">
        <v>0</v>
      </c>
      <c r="C1034" s="3">
        <f>B1034*$K$4</f>
        <v>0</v>
      </c>
      <c r="D1034" s="3">
        <f>(E1033/$K$1)*$K$2*1</f>
        <v>1.8780083671335814E-5</v>
      </c>
      <c r="E1034" s="3">
        <f t="shared" si="32"/>
        <v>2.3119727621235256E-3</v>
      </c>
      <c r="F1034" s="3">
        <f>E1034/$K$1</f>
        <v>2.8659635082726239E-4</v>
      </c>
      <c r="G1034" s="5">
        <f t="shared" si="33"/>
        <v>101324.99999857435</v>
      </c>
    </row>
    <row r="1035" spans="1:7" x14ac:dyDescent="0.25">
      <c r="A1035">
        <v>3433</v>
      </c>
      <c r="B1035" s="3">
        <v>0</v>
      </c>
      <c r="C1035" s="3">
        <f>B1035*$K$4</f>
        <v>0</v>
      </c>
      <c r="D1035" s="3">
        <f>(E1034/$K$1)*$K$2*1</f>
        <v>1.8628762803772057E-5</v>
      </c>
      <c r="E1035" s="3">
        <f t="shared" si="32"/>
        <v>2.2933439993197535E-3</v>
      </c>
      <c r="F1035" s="3">
        <f>E1035/$K$1</f>
        <v>2.8428709549023842E-4</v>
      </c>
      <c r="G1035" s="5">
        <f t="shared" si="33"/>
        <v>101324.99999857435</v>
      </c>
    </row>
    <row r="1036" spans="1:7" x14ac:dyDescent="0.25">
      <c r="A1036">
        <v>3434</v>
      </c>
      <c r="B1036" s="3">
        <v>0</v>
      </c>
      <c r="C1036" s="3">
        <f>B1036*$K$4</f>
        <v>0</v>
      </c>
      <c r="D1036" s="3">
        <f>(E1035/$K$1)*$K$2*1</f>
        <v>1.8478661206865496E-5</v>
      </c>
      <c r="E1036" s="3">
        <f t="shared" si="32"/>
        <v>2.274865338112888E-3</v>
      </c>
      <c r="F1036" s="3">
        <f>E1036/$K$1</f>
        <v>2.8199644702031585E-4</v>
      </c>
      <c r="G1036" s="5">
        <f t="shared" si="33"/>
        <v>101324.99999857435</v>
      </c>
    </row>
    <row r="1037" spans="1:7" x14ac:dyDescent="0.25">
      <c r="A1037">
        <v>3435</v>
      </c>
      <c r="B1037" s="3">
        <v>0</v>
      </c>
      <c r="C1037" s="3">
        <f>B1037*$K$4</f>
        <v>0</v>
      </c>
      <c r="D1037" s="3">
        <f>(E1036/$K$1)*$K$2*1</f>
        <v>1.8329769056320532E-5</v>
      </c>
      <c r="E1037" s="3">
        <f t="shared" si="32"/>
        <v>2.2565355690565675E-3</v>
      </c>
      <c r="F1037" s="3">
        <f>E1037/$K$1</f>
        <v>2.7972425549232274E-4</v>
      </c>
      <c r="G1037" s="5">
        <f t="shared" si="33"/>
        <v>101324.99999857435</v>
      </c>
    </row>
    <row r="1038" spans="1:7" x14ac:dyDescent="0.25">
      <c r="A1038">
        <v>3436</v>
      </c>
      <c r="B1038" s="3">
        <v>0</v>
      </c>
      <c r="C1038" s="3">
        <f>B1038*$K$4</f>
        <v>0</v>
      </c>
      <c r="D1038" s="3">
        <f>(E1037/$K$1)*$K$2*1</f>
        <v>1.8182076607000979E-5</v>
      </c>
      <c r="E1038" s="3">
        <f t="shared" si="32"/>
        <v>2.2383534924495666E-3</v>
      </c>
      <c r="F1038" s="3">
        <f>E1038/$K$1</f>
        <v>2.7747037218911198E-4</v>
      </c>
      <c r="G1038" s="5">
        <f t="shared" si="33"/>
        <v>101324.99999857435</v>
      </c>
    </row>
    <row r="1039" spans="1:7" x14ac:dyDescent="0.25">
      <c r="A1039">
        <v>3437</v>
      </c>
      <c r="B1039" s="3">
        <v>0</v>
      </c>
      <c r="C1039" s="3">
        <f>B1039*$K$4</f>
        <v>0</v>
      </c>
      <c r="D1039" s="3">
        <f>(E1038/$K$1)*$K$2*1</f>
        <v>1.8035574192292281E-5</v>
      </c>
      <c r="E1039" s="3">
        <f t="shared" si="32"/>
        <v>2.2203179182572743E-3</v>
      </c>
      <c r="F1039" s="3">
        <f>E1039/$K$1</f>
        <v>2.7523464959182772E-4</v>
      </c>
      <c r="G1039" s="5">
        <f t="shared" si="33"/>
        <v>101324.99999857435</v>
      </c>
    </row>
    <row r="1040" spans="1:7" x14ac:dyDescent="0.25">
      <c r="A1040">
        <v>3438</v>
      </c>
      <c r="B1040" s="3">
        <v>0</v>
      </c>
      <c r="C1040" s="3">
        <f>B1040*$K$4</f>
        <v>0</v>
      </c>
      <c r="D1040" s="3">
        <f>(E1039/$K$1)*$K$2*1</f>
        <v>1.7890252223468802E-5</v>
      </c>
      <c r="E1040" s="3">
        <f t="shared" si="32"/>
        <v>2.2024276660338057E-3</v>
      </c>
      <c r="F1040" s="3">
        <f>E1040/$K$1</f>
        <v>2.7301694137024988E-4</v>
      </c>
      <c r="G1040" s="5">
        <f t="shared" si="33"/>
        <v>101324.99999857435</v>
      </c>
    </row>
    <row r="1041" spans="1:7" x14ac:dyDescent="0.25">
      <c r="A1041">
        <v>3439</v>
      </c>
      <c r="B1041" s="3">
        <v>0</v>
      </c>
      <c r="C1041" s="3">
        <f>B1041*$K$4</f>
        <v>0</v>
      </c>
      <c r="D1041" s="3">
        <f>(E1040/$K$1)*$K$2*1</f>
        <v>1.7746101189066243E-5</v>
      </c>
      <c r="E1041" s="3">
        <f t="shared" si="32"/>
        <v>2.1846815648447395E-3</v>
      </c>
      <c r="F1041" s="3">
        <f>E1041/$K$1</f>
        <v>2.7081710237321675E-4</v>
      </c>
      <c r="G1041" s="5">
        <f t="shared" si="33"/>
        <v>101324.99999857435</v>
      </c>
    </row>
    <row r="1042" spans="1:7" x14ac:dyDescent="0.25">
      <c r="A1042">
        <v>3440</v>
      </c>
      <c r="B1042" s="3">
        <v>0</v>
      </c>
      <c r="C1042" s="3">
        <f>B1042*$K$4</f>
        <v>0</v>
      </c>
      <c r="D1042" s="3">
        <f>(E1041/$K$1)*$K$2*1</f>
        <v>1.7603111654259088E-5</v>
      </c>
      <c r="E1042" s="3">
        <f t="shared" si="32"/>
        <v>2.1670784531904806E-3</v>
      </c>
      <c r="F1042" s="3">
        <f>E1042/$K$1</f>
        <v>2.6863498861912489E-4</v>
      </c>
      <c r="G1042" s="5">
        <f t="shared" si="33"/>
        <v>101324.99999857435</v>
      </c>
    </row>
    <row r="1043" spans="1:7" x14ac:dyDescent="0.25">
      <c r="A1043">
        <v>3441</v>
      </c>
      <c r="B1043" s="3">
        <v>0</v>
      </c>
      <c r="C1043" s="3">
        <f>B1043*$K$4</f>
        <v>0</v>
      </c>
      <c r="D1043" s="3">
        <f>(E1042/$K$1)*$K$2*1</f>
        <v>1.7461274260243118E-5</v>
      </c>
      <c r="E1043" s="3">
        <f t="shared" si="32"/>
        <v>2.1496171789302373E-3</v>
      </c>
      <c r="F1043" s="3">
        <f>E1043/$K$1</f>
        <v>2.664704572865052E-4</v>
      </c>
      <c r="G1043" s="5">
        <f t="shared" si="33"/>
        <v>101324.99999857435</v>
      </c>
    </row>
    <row r="1044" spans="1:7" x14ac:dyDescent="0.25">
      <c r="A1044">
        <v>3442</v>
      </c>
      <c r="B1044" s="3">
        <v>0</v>
      </c>
      <c r="C1044" s="3">
        <f>B1044*$K$4</f>
        <v>0</v>
      </c>
      <c r="D1044" s="3">
        <f>(E1043/$K$1)*$K$2*1</f>
        <v>1.7320579723622839E-5</v>
      </c>
      <c r="E1044" s="3">
        <f t="shared" si="32"/>
        <v>2.1322965992066146E-3</v>
      </c>
      <c r="F1044" s="3">
        <f>E1044/$K$1</f>
        <v>2.6432336670467515E-4</v>
      </c>
      <c r="G1044" s="5">
        <f t="shared" si="33"/>
        <v>101324.99999857435</v>
      </c>
    </row>
    <row r="1045" spans="1:7" x14ac:dyDescent="0.25">
      <c r="A1045">
        <v>3443</v>
      </c>
      <c r="B1045" s="3">
        <v>0</v>
      </c>
      <c r="C1045" s="3">
        <f>B1045*$K$4</f>
        <v>0</v>
      </c>
      <c r="D1045" s="3">
        <f>(E1044/$K$1)*$K$2*1</f>
        <v>1.7181018835803885E-5</v>
      </c>
      <c r="E1045" s="3">
        <f t="shared" si="32"/>
        <v>2.1151155803708107E-3</v>
      </c>
      <c r="F1045" s="3">
        <f>E1045/$K$1</f>
        <v>2.6219357634446643E-4</v>
      </c>
      <c r="G1045" s="5">
        <f t="shared" si="33"/>
        <v>101324.99999857435</v>
      </c>
    </row>
    <row r="1046" spans="1:7" x14ac:dyDescent="0.25">
      <c r="A1046">
        <v>3444</v>
      </c>
      <c r="B1046" s="3">
        <v>0</v>
      </c>
      <c r="C1046" s="3">
        <f>B1046*$K$4</f>
        <v>0</v>
      </c>
      <c r="D1046" s="3">
        <f>(E1045/$K$1)*$K$2*1</f>
        <v>1.7042582462390318E-5</v>
      </c>
      <c r="E1046" s="3">
        <f t="shared" si="32"/>
        <v>2.0980729979084203E-3</v>
      </c>
      <c r="F1046" s="3">
        <f>E1046/$K$1</f>
        <v>2.6008094680902695E-4</v>
      </c>
      <c r="G1046" s="5">
        <f t="shared" si="33"/>
        <v>101324.99999857435</v>
      </c>
    </row>
    <row r="1047" spans="1:7" x14ac:dyDescent="0.25">
      <c r="A1047">
        <v>3445</v>
      </c>
      <c r="B1047" s="3">
        <v>0</v>
      </c>
      <c r="C1047" s="3">
        <f>B1047*$K$4</f>
        <v>0</v>
      </c>
      <c r="D1047" s="3">
        <f>(E1046/$K$1)*$K$2*1</f>
        <v>1.6905261542586753E-5</v>
      </c>
      <c r="E1047" s="3">
        <f t="shared" si="32"/>
        <v>2.0811677363658334E-3</v>
      </c>
      <c r="F1047" s="3">
        <f>E1047/$K$1</f>
        <v>2.5798533982469732E-4</v>
      </c>
      <c r="G1047" s="5">
        <f t="shared" si="33"/>
        <v>101324.99999857435</v>
      </c>
    </row>
    <row r="1048" spans="1:7" x14ac:dyDescent="0.25">
      <c r="A1048">
        <v>3446</v>
      </c>
      <c r="B1048" s="3">
        <v>0</v>
      </c>
      <c r="C1048" s="3">
        <f>B1048*$K$4</f>
        <v>0</v>
      </c>
      <c r="D1048" s="3">
        <f>(E1047/$K$1)*$K$2*1</f>
        <v>1.6769047088605325E-5</v>
      </c>
      <c r="E1048" s="3">
        <f t="shared" si="32"/>
        <v>2.064398689277228E-3</v>
      </c>
      <c r="F1048" s="3">
        <f>E1048/$K$1</f>
        <v>2.5590661823196082E-4</v>
      </c>
      <c r="G1048" s="5">
        <f t="shared" si="33"/>
        <v>101324.99999857435</v>
      </c>
    </row>
    <row r="1049" spans="1:7" x14ac:dyDescent="0.25">
      <c r="A1049">
        <v>3447</v>
      </c>
      <c r="B1049" s="3">
        <v>0</v>
      </c>
      <c r="C1049" s="3">
        <f>B1049*$K$4</f>
        <v>0</v>
      </c>
      <c r="D1049" s="3">
        <f>(E1048/$K$1)*$K$2*1</f>
        <v>1.6633930185077453E-5</v>
      </c>
      <c r="E1049" s="3">
        <f t="shared" si="32"/>
        <v>2.0477647590921508E-3</v>
      </c>
      <c r="F1049" s="3">
        <f>E1049/$K$1</f>
        <v>2.5384464597646593E-4</v>
      </c>
      <c r="G1049" s="5">
        <f t="shared" si="33"/>
        <v>101324.99999857435</v>
      </c>
    </row>
    <row r="1050" spans="1:7" x14ac:dyDescent="0.25">
      <c r="A1050">
        <v>3448</v>
      </c>
      <c r="B1050" s="3">
        <v>0</v>
      </c>
      <c r="C1050" s="3">
        <f>B1050*$K$4</f>
        <v>0</v>
      </c>
      <c r="D1050" s="3">
        <f>(E1049/$K$1)*$K$2*1</f>
        <v>1.6499901988470286E-5</v>
      </c>
      <c r="E1050" s="3">
        <f t="shared" si="32"/>
        <v>2.0312648571036806E-3</v>
      </c>
      <c r="F1050" s="3">
        <f>E1050/$K$1</f>
        <v>2.5179928810012154E-4</v>
      </c>
      <c r="G1050" s="5">
        <f t="shared" si="33"/>
        <v>101324.99999857435</v>
      </c>
    </row>
    <row r="1051" spans="1:7" x14ac:dyDescent="0.25">
      <c r="A1051">
        <v>3449</v>
      </c>
      <c r="B1051" s="3">
        <v>0</v>
      </c>
      <c r="C1051" s="3">
        <f>B1051*$K$4</f>
        <v>0</v>
      </c>
      <c r="D1051" s="3">
        <f>(E1050/$K$1)*$K$2*1</f>
        <v>1.63669537265079E-5</v>
      </c>
      <c r="E1051" s="3">
        <f t="shared" si="32"/>
        <v>2.0148979033771728E-3</v>
      </c>
      <c r="F1051" s="3">
        <f>E1051/$K$1</f>
        <v>2.4977041073226392E-4</v>
      </c>
      <c r="G1051" s="5">
        <f t="shared" si="33"/>
        <v>101324.99999857435</v>
      </c>
    </row>
    <row r="1052" spans="1:7" x14ac:dyDescent="0.25">
      <c r="A1052">
        <v>3450</v>
      </c>
      <c r="B1052" s="3">
        <v>0</v>
      </c>
      <c r="C1052" s="3">
        <f>B1052*$K$4</f>
        <v>0</v>
      </c>
      <c r="D1052" s="3">
        <f>(E1051/$K$1)*$K$2*1</f>
        <v>1.6235076697597156E-5</v>
      </c>
      <c r="E1052" s="3">
        <f t="shared" si="32"/>
        <v>1.9986628266795755E-3</v>
      </c>
      <c r="F1052" s="3">
        <f>E1052/$K$1</f>
        <v>2.4775788108089442E-4</v>
      </c>
      <c r="G1052" s="5">
        <f t="shared" si="33"/>
        <v>101324.99999857435</v>
      </c>
    </row>
    <row r="1053" spans="1:7" x14ac:dyDescent="0.25">
      <c r="A1053">
        <v>3451</v>
      </c>
      <c r="B1053" s="3">
        <v>0</v>
      </c>
      <c r="C1053" s="3">
        <f>B1053*$K$4</f>
        <v>0</v>
      </c>
      <c r="D1053" s="3">
        <f>(E1052/$K$1)*$K$2*1</f>
        <v>1.6104262270258137E-5</v>
      </c>
      <c r="E1053" s="3">
        <f t="shared" si="32"/>
        <v>1.9825585644093172E-3</v>
      </c>
      <c r="F1053" s="3">
        <f>E1053/$K$1</f>
        <v>2.4576156742398876E-4</v>
      </c>
      <c r="G1053" s="5">
        <f t="shared" si="33"/>
        <v>101324.99999857435</v>
      </c>
    </row>
    <row r="1054" spans="1:7" x14ac:dyDescent="0.25">
      <c r="A1054">
        <v>3452</v>
      </c>
      <c r="B1054" s="3">
        <v>0</v>
      </c>
      <c r="C1054" s="3">
        <f>B1054*$K$4</f>
        <v>0</v>
      </c>
      <c r="D1054" s="3">
        <f>(E1053/$K$1)*$K$2*1</f>
        <v>1.5974501882559271E-5</v>
      </c>
      <c r="E1054" s="3">
        <f t="shared" si="32"/>
        <v>1.966584062526758E-3</v>
      </c>
      <c r="F1054" s="3">
        <f>E1054/$K$1</f>
        <v>2.4378133910087492E-4</v>
      </c>
      <c r="G1054" s="5">
        <f t="shared" si="33"/>
        <v>101324.99999857435</v>
      </c>
    </row>
    <row r="1055" spans="1:7" x14ac:dyDescent="0.25">
      <c r="A1055">
        <v>3453</v>
      </c>
      <c r="B1055" s="3">
        <v>0</v>
      </c>
      <c r="C1055" s="3">
        <f>B1055*$K$4</f>
        <v>0</v>
      </c>
      <c r="D1055" s="3">
        <f>(E1054/$K$1)*$K$2*1</f>
        <v>1.5845787041556871E-5</v>
      </c>
      <c r="E1055" s="3">
        <f t="shared" si="32"/>
        <v>1.9507382754852011E-3</v>
      </c>
      <c r="F1055" s="3">
        <f>E1055/$K$1</f>
        <v>2.4181706650368179E-4</v>
      </c>
      <c r="G1055" s="5">
        <f t="shared" si="33"/>
        <v>101324.99999857435</v>
      </c>
    </row>
    <row r="1056" spans="1:7" x14ac:dyDescent="0.25">
      <c r="A1056">
        <v>3454</v>
      </c>
      <c r="B1056" s="3">
        <v>0</v>
      </c>
      <c r="C1056" s="3">
        <f>B1056*$K$4</f>
        <v>0</v>
      </c>
      <c r="D1056" s="3">
        <f>(E1055/$K$1)*$K$2*1</f>
        <v>1.5718109322739315E-5</v>
      </c>
      <c r="E1056" s="3">
        <f t="shared" si="32"/>
        <v>1.9350201661624618E-3</v>
      </c>
      <c r="F1056" s="3">
        <f>E1056/$K$1</f>
        <v>2.3986862106885605E-4</v>
      </c>
      <c r="G1056" s="5">
        <f t="shared" si="33"/>
        <v>101324.99999857435</v>
      </c>
    </row>
    <row r="1057" spans="1:7" x14ac:dyDescent="0.25">
      <c r="A1057">
        <v>3455</v>
      </c>
      <c r="B1057" s="3">
        <v>0</v>
      </c>
      <c r="C1057" s="3">
        <f>B1057*$K$4</f>
        <v>0</v>
      </c>
      <c r="D1057" s="3">
        <f>(E1056/$K$1)*$K$2*1</f>
        <v>1.5591460369475645E-5</v>
      </c>
      <c r="E1057" s="3">
        <f t="shared" si="32"/>
        <v>1.9194287057929861E-3</v>
      </c>
      <c r="F1057" s="3">
        <f>E1057/$K$1</f>
        <v>2.379358752687475E-4</v>
      </c>
      <c r="G1057" s="5">
        <f t="shared" si="33"/>
        <v>101324.99999857435</v>
      </c>
    </row>
    <row r="1058" spans="1:7" x14ac:dyDescent="0.25">
      <c r="A1058">
        <v>3456</v>
      </c>
      <c r="B1058" s="3">
        <v>0</v>
      </c>
      <c r="C1058" s="3">
        <f>B1058*$K$4</f>
        <v>0</v>
      </c>
      <c r="D1058" s="3">
        <f>(E1057/$K$1)*$K$2*1</f>
        <v>1.5465831892468589E-5</v>
      </c>
      <c r="E1058" s="3">
        <f t="shared" si="32"/>
        <v>1.9039628739005174E-3</v>
      </c>
      <c r="F1058" s="3">
        <f>E1058/$K$1</f>
        <v>2.3601870260326236E-4</v>
      </c>
      <c r="G1058" s="5">
        <f t="shared" si="33"/>
        <v>101324.99999857435</v>
      </c>
    </row>
    <row r="1059" spans="1:7" x14ac:dyDescent="0.25">
      <c r="A1059">
        <v>3457</v>
      </c>
      <c r="B1059" s="3">
        <v>0</v>
      </c>
      <c r="C1059" s="3">
        <f>B1059*$K$4</f>
        <v>0</v>
      </c>
      <c r="D1059" s="3">
        <f>(E1058/$K$1)*$K$2*1</f>
        <v>1.5341215669212054E-5</v>
      </c>
      <c r="E1059" s="3">
        <f t="shared" si="32"/>
        <v>1.8886216582313054E-3</v>
      </c>
      <c r="F1059" s="3">
        <f>E1059/$K$1</f>
        <v>2.3411697759158367E-4</v>
      </c>
      <c r="G1059" s="5">
        <f t="shared" si="33"/>
        <v>101324.99999857435</v>
      </c>
    </row>
    <row r="1060" spans="1:7" x14ac:dyDescent="0.25">
      <c r="A1060">
        <v>3458</v>
      </c>
      <c r="B1060" s="3">
        <v>0</v>
      </c>
      <c r="C1060" s="3">
        <f>B1060*$K$4</f>
        <v>0</v>
      </c>
      <c r="D1060" s="3">
        <f>(E1059/$K$1)*$K$2*1</f>
        <v>1.5217603543452939E-5</v>
      </c>
      <c r="E1060" s="3">
        <f t="shared" si="32"/>
        <v>1.8734040546878525E-3</v>
      </c>
      <c r="F1060" s="3">
        <f>E1060/$K$1</f>
        <v>2.3223057576395842E-4</v>
      </c>
      <c r="G1060" s="5">
        <f t="shared" si="33"/>
        <v>101324.99999857435</v>
      </c>
    </row>
    <row r="1061" spans="1:7" x14ac:dyDescent="0.25">
      <c r="A1061">
        <v>3459</v>
      </c>
      <c r="B1061" s="3">
        <v>0</v>
      </c>
      <c r="C1061" s="3">
        <f>B1061*$K$4</f>
        <v>0</v>
      </c>
      <c r="D1061" s="3">
        <f>(E1060/$K$1)*$K$2*1</f>
        <v>1.5094987424657298E-5</v>
      </c>
      <c r="E1061" s="3">
        <f t="shared" si="32"/>
        <v>1.8583090672631953E-3</v>
      </c>
      <c r="F1061" s="3">
        <f>E1061/$K$1</f>
        <v>2.3035937365355091E-4</v>
      </c>
      <c r="G1061" s="5">
        <f t="shared" si="33"/>
        <v>101324.99999857435</v>
      </c>
    </row>
    <row r="1062" spans="1:7" x14ac:dyDescent="0.25">
      <c r="A1062">
        <v>3460</v>
      </c>
      <c r="B1062" s="3">
        <v>0</v>
      </c>
      <c r="C1062" s="3">
        <f>B1062*$K$4</f>
        <v>0</v>
      </c>
      <c r="D1062" s="3">
        <f>(E1061/$K$1)*$K$2*1</f>
        <v>1.497335928748081E-5</v>
      </c>
      <c r="E1062" s="3">
        <f t="shared" si="32"/>
        <v>1.8433357079757145E-3</v>
      </c>
      <c r="F1062" s="3">
        <f>E1062/$K$1</f>
        <v>2.2850324878836178E-4</v>
      </c>
      <c r="G1062" s="5">
        <f t="shared" si="33"/>
        <v>101324.99999857435</v>
      </c>
    </row>
    <row r="1063" spans="1:7" x14ac:dyDescent="0.25">
      <c r="A1063">
        <v>3461</v>
      </c>
      <c r="B1063" s="3">
        <v>0</v>
      </c>
      <c r="C1063" s="3">
        <f>B1063*$K$4</f>
        <v>0</v>
      </c>
      <c r="D1063" s="3">
        <f>(E1062/$K$1)*$K$2*1</f>
        <v>1.4852711171243517E-5</v>
      </c>
      <c r="E1063" s="3">
        <f t="shared" si="32"/>
        <v>1.828482996804471E-3</v>
      </c>
      <c r="F1063" s="3">
        <f>E1063/$K$1</f>
        <v>2.2666207968321197E-4</v>
      </c>
      <c r="G1063" s="5">
        <f t="shared" si="33"/>
        <v>101324.99999857435</v>
      </c>
    </row>
    <row r="1064" spans="1:7" x14ac:dyDescent="0.25">
      <c r="A1064">
        <v>3462</v>
      </c>
      <c r="B1064" s="3">
        <v>0</v>
      </c>
      <c r="C1064" s="3">
        <f>B1064*$K$4</f>
        <v>0</v>
      </c>
      <c r="D1064" s="3">
        <f>(E1063/$K$1)*$K$2*1</f>
        <v>1.4733035179408778E-5</v>
      </c>
      <c r="E1064" s="3">
        <f t="shared" si="32"/>
        <v>1.8137499616250623E-3</v>
      </c>
      <c r="F1064" s="3">
        <f>E1064/$K$1</f>
        <v>2.2483574583179153E-4</v>
      </c>
      <c r="G1064" s="5">
        <f t="shared" si="33"/>
        <v>101324.99999857435</v>
      </c>
    </row>
    <row r="1065" spans="1:7" x14ac:dyDescent="0.25">
      <c r="A1065">
        <v>3463</v>
      </c>
      <c r="B1065" s="3">
        <v>0</v>
      </c>
      <c r="C1065" s="3">
        <f>B1065*$K$4</f>
        <v>0</v>
      </c>
      <c r="D1065" s="3">
        <f>(E1064/$K$1)*$K$2*1</f>
        <v>1.4614323479066451E-5</v>
      </c>
      <c r="E1065" s="3">
        <f t="shared" si="32"/>
        <v>1.7991356381459958E-3</v>
      </c>
      <c r="F1065" s="3">
        <f>E1065/$K$1</f>
        <v>2.2302412769877226E-4</v>
      </c>
      <c r="G1065" s="5">
        <f t="shared" si="33"/>
        <v>101324.99999857435</v>
      </c>
    </row>
    <row r="1066" spans="1:7" x14ac:dyDescent="0.25">
      <c r="A1066">
        <v>3464</v>
      </c>
      <c r="B1066" s="3">
        <v>0</v>
      </c>
      <c r="C1066" s="3">
        <f>B1066*$K$4</f>
        <v>0</v>
      </c>
      <c r="D1066" s="3">
        <f>(E1065/$K$1)*$K$2*1</f>
        <v>1.4496568300420198E-5</v>
      </c>
      <c r="E1066" s="3">
        <f t="shared" si="32"/>
        <v>1.7846390698455755E-3</v>
      </c>
      <c r="F1066" s="3">
        <f>E1066/$K$1</f>
        <v>2.2122710671198406E-4</v>
      </c>
      <c r="G1066" s="5">
        <f t="shared" si="33"/>
        <v>101324.99999857435</v>
      </c>
    </row>
    <row r="1067" spans="1:7" x14ac:dyDescent="0.25">
      <c r="A1067">
        <v>3465</v>
      </c>
      <c r="B1067" s="3">
        <v>0</v>
      </c>
      <c r="C1067" s="3">
        <f>B1067*$K$4</f>
        <v>0</v>
      </c>
      <c r="D1067" s="3">
        <f>(E1066/$K$1)*$K$2*1</f>
        <v>1.4379761936278963E-5</v>
      </c>
      <c r="E1067" s="3">
        <f t="shared" si="32"/>
        <v>1.7702593079092965E-3</v>
      </c>
      <c r="F1067" s="3">
        <f>E1067/$K$1</f>
        <v>2.1944456525465434E-4</v>
      </c>
      <c r="G1067" s="5">
        <f t="shared" si="33"/>
        <v>101324.99999857435</v>
      </c>
    </row>
    <row r="1068" spans="1:7" x14ac:dyDescent="0.25">
      <c r="A1068">
        <v>3466</v>
      </c>
      <c r="B1068" s="3">
        <v>0</v>
      </c>
      <c r="C1068" s="3">
        <f>B1068*$K$4</f>
        <v>0</v>
      </c>
      <c r="D1068" s="3">
        <f>(E1067/$K$1)*$K$2*1</f>
        <v>1.4263896741552532E-5</v>
      </c>
      <c r="E1068" s="3">
        <f t="shared" si="32"/>
        <v>1.7559954111677439E-3</v>
      </c>
      <c r="F1068" s="3">
        <f>E1068/$K$1</f>
        <v>2.1767638665770968E-4</v>
      </c>
      <c r="G1068" s="5">
        <f t="shared" si="33"/>
        <v>101324.99999857435</v>
      </c>
    </row>
    <row r="1069" spans="1:7" x14ac:dyDescent="0.25">
      <c r="A1069">
        <v>3467</v>
      </c>
      <c r="B1069" s="3">
        <v>0</v>
      </c>
      <c r="C1069" s="3">
        <f>B1069*$K$4</f>
        <v>0</v>
      </c>
      <c r="D1069" s="3">
        <f>(E1068/$K$1)*$K$2*1</f>
        <v>1.4148965132751129E-5</v>
      </c>
      <c r="E1069" s="3">
        <f t="shared" si="32"/>
        <v>1.7418464460349928E-3</v>
      </c>
      <c r="F1069" s="3">
        <f>E1069/$K$1</f>
        <v>2.1592245519213993E-4</v>
      </c>
      <c r="G1069" s="5">
        <f t="shared" si="33"/>
        <v>101324.99999857435</v>
      </c>
    </row>
    <row r="1070" spans="1:7" x14ac:dyDescent="0.25">
      <c r="A1070">
        <v>3468</v>
      </c>
      <c r="B1070" s="3">
        <v>0</v>
      </c>
      <c r="C1070" s="3">
        <f>B1070*$K$4</f>
        <v>0</v>
      </c>
      <c r="D1070" s="3">
        <f>(E1069/$K$1)*$K$2*1</f>
        <v>1.4034959587489096E-5</v>
      </c>
      <c r="E1070" s="3">
        <f t="shared" si="32"/>
        <v>1.7278114864475037E-3</v>
      </c>
      <c r="F1070" s="3">
        <f>E1070/$K$1</f>
        <v>2.1418265606142355E-4</v>
      </c>
      <c r="G1070" s="5">
        <f t="shared" si="33"/>
        <v>101324.99999857435</v>
      </c>
    </row>
    <row r="1071" spans="1:7" x14ac:dyDescent="0.25">
      <c r="A1071">
        <v>3469</v>
      </c>
      <c r="B1071" s="3">
        <v>0</v>
      </c>
      <c r="C1071" s="3">
        <f>B1071*$K$4</f>
        <v>0</v>
      </c>
      <c r="D1071" s="3">
        <f>(E1070/$K$1)*$K$2*1</f>
        <v>1.3921872643992531E-5</v>
      </c>
      <c r="E1071" s="3">
        <f t="shared" si="32"/>
        <v>1.7138896138035112E-3</v>
      </c>
      <c r="F1071" s="3">
        <f>E1071/$K$1</f>
        <v>2.1245687539401403E-4</v>
      </c>
      <c r="G1071" s="5">
        <f t="shared" si="33"/>
        <v>101324.99999857435</v>
      </c>
    </row>
    <row r="1072" spans="1:7" x14ac:dyDescent="0.25">
      <c r="A1072">
        <v>3470</v>
      </c>
      <c r="B1072" s="3">
        <v>0</v>
      </c>
      <c r="C1072" s="3">
        <f>B1072*$K$4</f>
        <v>0</v>
      </c>
      <c r="D1072" s="3">
        <f>(E1071/$K$1)*$K$2*1</f>
        <v>1.3809696900610912E-5</v>
      </c>
      <c r="E1072" s="3">
        <f t="shared" si="32"/>
        <v>1.7000799169029003E-3</v>
      </c>
      <c r="F1072" s="3">
        <f>E1072/$K$1</f>
        <v>2.10745000235887E-4</v>
      </c>
      <c r="G1072" s="5">
        <f t="shared" si="33"/>
        <v>101324.99999857435</v>
      </c>
    </row>
    <row r="1073" spans="1:7" x14ac:dyDescent="0.25">
      <c r="A1073">
        <v>3471</v>
      </c>
      <c r="B1073" s="3">
        <v>0</v>
      </c>
      <c r="C1073" s="3">
        <f>B1073*$K$4</f>
        <v>0</v>
      </c>
      <c r="D1073" s="3">
        <f>(E1072/$K$1)*$K$2*1</f>
        <v>1.3698425015332656E-5</v>
      </c>
      <c r="E1073" s="3">
        <f t="shared" si="32"/>
        <v>1.6863814918875676E-3</v>
      </c>
      <c r="F1073" s="3">
        <f>E1073/$K$1</f>
        <v>2.0904691854314709E-4</v>
      </c>
      <c r="G1073" s="5">
        <f t="shared" si="33"/>
        <v>101324.99999857435</v>
      </c>
    </row>
    <row r="1074" spans="1:7" x14ac:dyDescent="0.25">
      <c r="A1074">
        <v>3472</v>
      </c>
      <c r="B1074" s="3">
        <v>0</v>
      </c>
      <c r="C1074" s="3">
        <f>B1074*$K$4</f>
        <v>0</v>
      </c>
      <c r="D1074" s="3">
        <f>(E1073/$K$1)*$K$2*1</f>
        <v>1.3588049705304562E-5</v>
      </c>
      <c r="E1074" s="3">
        <f t="shared" si="32"/>
        <v>1.6727934421822631E-3</v>
      </c>
      <c r="F1074" s="3">
        <f>E1074/$K$1</f>
        <v>2.0736251917469482E-4</v>
      </c>
      <c r="G1074" s="5">
        <f t="shared" si="33"/>
        <v>101324.99999857435</v>
      </c>
    </row>
    <row r="1075" spans="1:7" x14ac:dyDescent="0.25">
      <c r="A1075">
        <v>3473</v>
      </c>
      <c r="B1075" s="3">
        <v>0</v>
      </c>
      <c r="C1075" s="3">
        <f>B1075*$K$4</f>
        <v>0</v>
      </c>
      <c r="D1075" s="3">
        <f>(E1074/$K$1)*$K$2*1</f>
        <v>1.3478563746355164E-5</v>
      </c>
      <c r="E1075" s="3">
        <f t="shared" si="32"/>
        <v>1.6593148784359081E-3</v>
      </c>
      <c r="F1075" s="3">
        <f>E1075/$K$1</f>
        <v>2.0569169188495203E-4</v>
      </c>
      <c r="G1075" s="5">
        <f t="shared" si="33"/>
        <v>101324.99999857435</v>
      </c>
    </row>
    <row r="1076" spans="1:7" x14ac:dyDescent="0.25">
      <c r="A1076">
        <v>3474</v>
      </c>
      <c r="B1076" s="3">
        <v>0</v>
      </c>
      <c r="C1076" s="3">
        <f>B1076*$K$4</f>
        <v>0</v>
      </c>
      <c r="D1076" s="3">
        <f>(E1075/$K$1)*$K$2*1</f>
        <v>1.3369959972521883E-5</v>
      </c>
      <c r="E1076" s="3">
        <f t="shared" si="32"/>
        <v>1.6459449184633862E-3</v>
      </c>
      <c r="F1076" s="3">
        <f>E1076/$K$1</f>
        <v>2.0403432731664635E-4</v>
      </c>
      <c r="G1076" s="5">
        <f t="shared" si="33"/>
        <v>101324.99999857435</v>
      </c>
    </row>
    <row r="1077" spans="1:7" x14ac:dyDescent="0.25">
      <c r="A1077">
        <v>3475</v>
      </c>
      <c r="B1077" s="3">
        <v>0</v>
      </c>
      <c r="C1077" s="3">
        <f>B1077*$K$4</f>
        <v>0</v>
      </c>
      <c r="D1077" s="3">
        <f>(E1076/$K$1)*$K$2*1</f>
        <v>1.3262231275582013E-5</v>
      </c>
      <c r="E1077" s="3">
        <f t="shared" si="32"/>
        <v>1.6326826871878042E-3</v>
      </c>
      <c r="F1077" s="3">
        <f>E1077/$K$1</f>
        <v>2.0239031699365368E-4</v>
      </c>
      <c r="G1077" s="5">
        <f t="shared" si="33"/>
        <v>101324.99999857435</v>
      </c>
    </row>
    <row r="1078" spans="1:7" x14ac:dyDescent="0.25">
      <c r="A1078">
        <v>3476</v>
      </c>
      <c r="B1078" s="3">
        <v>0</v>
      </c>
      <c r="C1078" s="3">
        <f>B1078*$K$4</f>
        <v>0</v>
      </c>
      <c r="D1078" s="3">
        <f>(E1077/$K$1)*$K$2*1</f>
        <v>1.315537060458749E-5</v>
      </c>
      <c r="E1078" s="3">
        <f t="shared" si="32"/>
        <v>1.6195273165832166E-3</v>
      </c>
      <c r="F1078" s="3">
        <f>E1078/$K$1</f>
        <v>2.0075955331389818E-4</v>
      </c>
      <c r="G1078" s="5">
        <f t="shared" si="33"/>
        <v>101324.99999857435</v>
      </c>
    </row>
    <row r="1079" spans="1:7" x14ac:dyDescent="0.25">
      <c r="A1079">
        <v>3477</v>
      </c>
      <c r="B1079" s="3">
        <v>0</v>
      </c>
      <c r="C1079" s="3">
        <f>B1079*$K$4</f>
        <v>0</v>
      </c>
      <c r="D1079" s="3">
        <f>(E1078/$K$1)*$K$2*1</f>
        <v>1.3049370965403383E-5</v>
      </c>
      <c r="E1079" s="3">
        <f t="shared" si="32"/>
        <v>1.6064779456178133E-3</v>
      </c>
      <c r="F1079" s="3">
        <f>E1079/$K$1</f>
        <v>1.9914192954230981E-4</v>
      </c>
      <c r="G1079" s="5">
        <f t="shared" si="33"/>
        <v>101324.99999857435</v>
      </c>
    </row>
    <row r="1080" spans="1:7" x14ac:dyDescent="0.25">
      <c r="A1080">
        <v>3478</v>
      </c>
      <c r="B1080" s="3">
        <v>0</v>
      </c>
      <c r="C1080" s="3">
        <f>B1080*$K$4</f>
        <v>0</v>
      </c>
      <c r="D1080" s="3">
        <f>(E1079/$K$1)*$K$2*1</f>
        <v>1.2944225420250137E-5</v>
      </c>
      <c r="E1080" s="3">
        <f t="shared" si="32"/>
        <v>1.5935337201975631E-3</v>
      </c>
      <c r="F1080" s="3">
        <f>E1080/$K$1</f>
        <v>1.9753733980383824E-4</v>
      </c>
      <c r="G1080" s="5">
        <f t="shared" si="33"/>
        <v>101324.99999857435</v>
      </c>
    </row>
    <row r="1081" spans="1:7" x14ac:dyDescent="0.25">
      <c r="A1081">
        <v>3479</v>
      </c>
      <c r="B1081" s="3">
        <v>0</v>
      </c>
      <c r="C1081" s="3">
        <f>B1081*$K$4</f>
        <v>0</v>
      </c>
      <c r="D1081" s="3">
        <f>(E1080/$K$1)*$K$2*1</f>
        <v>1.2839927087249485E-5</v>
      </c>
      <c r="E1081" s="3">
        <f t="shared" si="32"/>
        <v>1.5806937931103135E-3</v>
      </c>
      <c r="F1081" s="3">
        <f>E1081/$K$1</f>
        <v>1.9594567907652331E-4</v>
      </c>
      <c r="G1081" s="5">
        <f t="shared" si="33"/>
        <v>101324.99999857435</v>
      </c>
    </row>
    <row r="1082" spans="1:7" x14ac:dyDescent="0.25">
      <c r="A1082">
        <v>3480</v>
      </c>
      <c r="B1082" s="3">
        <v>0</v>
      </c>
      <c r="C1082" s="3">
        <f>B1082*$K$4</f>
        <v>0</v>
      </c>
      <c r="D1082" s="3">
        <f>(E1081/$K$1)*$K$2*1</f>
        <v>1.2736469139974015E-5</v>
      </c>
      <c r="E1082" s="3">
        <f t="shared" si="32"/>
        <v>1.5679573239703395E-3</v>
      </c>
      <c r="F1082" s="3">
        <f>E1082/$K$1</f>
        <v>1.9436684318462123E-4</v>
      </c>
      <c r="G1082" s="5">
        <f t="shared" si="33"/>
        <v>101324.99999857435</v>
      </c>
    </row>
    <row r="1083" spans="1:7" x14ac:dyDescent="0.25">
      <c r="A1083">
        <v>3481</v>
      </c>
      <c r="B1083" s="3">
        <v>0</v>
      </c>
      <c r="C1083" s="3">
        <f>B1083*$K$4</f>
        <v>0</v>
      </c>
      <c r="D1083" s="3">
        <f>(E1082/$K$1)*$K$2*1</f>
        <v>1.2633844807000381E-5</v>
      </c>
      <c r="E1083" s="3">
        <f t="shared" si="32"/>
        <v>1.5553234791633392E-3</v>
      </c>
      <c r="F1083" s="3">
        <f>E1083/$K$1</f>
        <v>1.9280072879178619E-4</v>
      </c>
      <c r="G1083" s="5">
        <f t="shared" si="33"/>
        <v>101324.99999857435</v>
      </c>
    </row>
    <row r="1084" spans="1:7" x14ac:dyDescent="0.25">
      <c r="A1084">
        <v>3482</v>
      </c>
      <c r="B1084" s="3">
        <v>0</v>
      </c>
      <c r="C1084" s="3">
        <f>B1084*$K$4</f>
        <v>0</v>
      </c>
      <c r="D1084" s="3">
        <f>(E1083/$K$1)*$K$2*1</f>
        <v>1.2532047371466102E-5</v>
      </c>
      <c r="E1084" s="3">
        <f t="shared" si="32"/>
        <v>1.542791431791873E-3</v>
      </c>
      <c r="F1084" s="3">
        <f>E1084/$K$1</f>
        <v>1.912472333943068E-4</v>
      </c>
      <c r="G1084" s="5">
        <f t="shared" si="33"/>
        <v>101324.99999857435</v>
      </c>
    </row>
    <row r="1085" spans="1:7" x14ac:dyDescent="0.25">
      <c r="A1085">
        <v>3483</v>
      </c>
      <c r="B1085" s="3">
        <v>0</v>
      </c>
      <c r="C1085" s="3">
        <f>B1085*$K$4</f>
        <v>0</v>
      </c>
      <c r="D1085" s="3">
        <f>(E1084/$K$1)*$K$2*1</f>
        <v>1.2431070170629942E-5</v>
      </c>
      <c r="E1085" s="3">
        <f t="shared" si="32"/>
        <v>1.5303603616212431E-3</v>
      </c>
      <c r="F1085" s="3">
        <f>E1085/$K$1</f>
        <v>1.897062553143973E-4</v>
      </c>
      <c r="G1085" s="5">
        <f t="shared" si="33"/>
        <v>101324.99999857435</v>
      </c>
    </row>
    <row r="1086" spans="1:7" x14ac:dyDescent="0.25">
      <c r="A1086">
        <v>3484</v>
      </c>
      <c r="B1086" s="3">
        <v>0</v>
      </c>
      <c r="C1086" s="3">
        <f>B1086*$K$4</f>
        <v>0</v>
      </c>
      <c r="D1086" s="3">
        <f>(E1085/$K$1)*$K$2*1</f>
        <v>1.2330906595435824E-5</v>
      </c>
      <c r="E1086" s="3">
        <f t="shared" si="32"/>
        <v>1.5180294550258073E-3</v>
      </c>
      <c r="F1086" s="3">
        <f>E1086/$K$1</f>
        <v>1.8817769369354251E-4</v>
      </c>
      <c r="G1086" s="5">
        <f t="shared" si="33"/>
        <v>101324.99999857435</v>
      </c>
    </row>
    <row r="1087" spans="1:7" x14ac:dyDescent="0.25">
      <c r="A1087">
        <v>3485</v>
      </c>
      <c r="B1087" s="3">
        <v>0</v>
      </c>
      <c r="C1087" s="3">
        <f>B1087*$K$4</f>
        <v>0</v>
      </c>
      <c r="D1087" s="3">
        <f>(E1086/$K$1)*$K$2*1</f>
        <v>1.2231550090080263E-5</v>
      </c>
      <c r="E1087" s="3">
        <f t="shared" si="32"/>
        <v>1.5057979049357272E-3</v>
      </c>
      <c r="F1087" s="3">
        <f>E1087/$K$1</f>
        <v>1.866614484858965E-4</v>
      </c>
      <c r="G1087" s="5">
        <f t="shared" si="33"/>
        <v>101324.99999857435</v>
      </c>
    </row>
    <row r="1088" spans="1:7" x14ac:dyDescent="0.25">
      <c r="A1088">
        <v>3486</v>
      </c>
      <c r="B1088" s="3">
        <v>0</v>
      </c>
      <c r="C1088" s="3">
        <f>B1088*$K$4</f>
        <v>0</v>
      </c>
      <c r="D1088" s="3">
        <f>(E1087/$K$1)*$K$2*1</f>
        <v>1.2132994151583272E-5</v>
      </c>
      <c r="E1088" s="3">
        <f t="shared" si="32"/>
        <v>1.4936649107841439E-3</v>
      </c>
      <c r="F1088" s="3">
        <f>E1088/$K$1</f>
        <v>1.8515742045173471E-4</v>
      </c>
      <c r="G1088" s="5">
        <f t="shared" si="33"/>
        <v>101324.99999857435</v>
      </c>
    </row>
    <row r="1089" spans="1:7" x14ac:dyDescent="0.25">
      <c r="A1089">
        <v>3487</v>
      </c>
      <c r="B1089" s="3">
        <v>0</v>
      </c>
      <c r="C1089" s="3">
        <f>B1089*$K$4</f>
        <v>0</v>
      </c>
      <c r="D1089" s="3">
        <f>(E1088/$K$1)*$K$2*1</f>
        <v>1.2035232329362757E-5</v>
      </c>
      <c r="E1089" s="3">
        <f t="shared" si="32"/>
        <v>1.481629678454781E-3</v>
      </c>
      <c r="F1089" s="3">
        <f>E1089/$K$1</f>
        <v>1.8366551115095835E-4</v>
      </c>
      <c r="G1089" s="5">
        <f t="shared" si="33"/>
        <v>101324.99999857435</v>
      </c>
    </row>
    <row r="1090" spans="1:7" x14ac:dyDescent="0.25">
      <c r="A1090">
        <v>3488</v>
      </c>
      <c r="B1090" s="3">
        <v>0</v>
      </c>
      <c r="C1090" s="3">
        <f>B1090*$K$4</f>
        <v>0</v>
      </c>
      <c r="D1090" s="3">
        <f>(E1089/$K$1)*$K$2*1</f>
        <v>1.1938258224812293E-5</v>
      </c>
      <c r="E1090" s="3">
        <f t="shared" si="32"/>
        <v>1.4696914202299686E-3</v>
      </c>
      <c r="F1090" s="3">
        <f>E1090/$K$1</f>
        <v>1.8218562293665161E-4</v>
      </c>
      <c r="G1090" s="5">
        <f t="shared" si="33"/>
        <v>101324.99999857435</v>
      </c>
    </row>
    <row r="1091" spans="1:7" x14ac:dyDescent="0.25">
      <c r="A1091">
        <v>3489</v>
      </c>
      <c r="B1091" s="3">
        <v>0</v>
      </c>
      <c r="C1091" s="3">
        <f>B1091*$K$4</f>
        <v>0</v>
      </c>
      <c r="D1091" s="3">
        <f>(E1090/$K$1)*$K$2*1</f>
        <v>1.1842065490882355E-5</v>
      </c>
      <c r="E1091" s="3">
        <f t="shared" si="32"/>
        <v>1.4578493547390862E-3</v>
      </c>
      <c r="F1091" s="3">
        <f>E1091/$K$1</f>
        <v>1.8071765894869048E-4</v>
      </c>
      <c r="G1091" s="5">
        <f t="shared" si="33"/>
        <v>101324.99999857435</v>
      </c>
    </row>
    <row r="1092" spans="1:7" x14ac:dyDescent="0.25">
      <c r="A1092">
        <v>3490</v>
      </c>
      <c r="B1092" s="3">
        <v>0</v>
      </c>
      <c r="C1092" s="3">
        <f>B1092*$K$4</f>
        <v>0</v>
      </c>
      <c r="D1092" s="3">
        <f>(E1091/$K$1)*$K$2*1</f>
        <v>1.1746647831664882E-5</v>
      </c>
      <c r="E1092" s="3">
        <f t="shared" ref="E1092:E1155" si="34">E1091+C1092-D1092</f>
        <v>1.4461027069074214E-3</v>
      </c>
      <c r="F1092" s="3">
        <f>E1092/$K$1</f>
        <v>1.7926152310740316E-4</v>
      </c>
      <c r="G1092" s="5">
        <f t="shared" ref="G1092:G1155" si="35">G1091+C1092-$K$5*$K$9*SQRT(MAX(0,2*$K$6*(G1091-$K$11)))</f>
        <v>101324.99999857435</v>
      </c>
    </row>
    <row r="1093" spans="1:7" x14ac:dyDescent="0.25">
      <c r="A1093">
        <v>3491</v>
      </c>
      <c r="B1093" s="3">
        <v>0</v>
      </c>
      <c r="C1093" s="3">
        <f>B1093*$K$4</f>
        <v>0</v>
      </c>
      <c r="D1093" s="3">
        <f>(E1092/$K$1)*$K$2*1</f>
        <v>1.1651999001981205E-5</v>
      </c>
      <c r="E1093" s="3">
        <f t="shared" si="34"/>
        <v>1.4344507079054401E-3</v>
      </c>
      <c r="F1093" s="3">
        <f>E1093/$K$1</f>
        <v>1.7781712010728152E-4</v>
      </c>
      <c r="G1093" s="5">
        <f t="shared" si="35"/>
        <v>101324.99999857435</v>
      </c>
    </row>
    <row r="1094" spans="1:7" x14ac:dyDescent="0.25">
      <c r="A1094">
        <v>3492</v>
      </c>
      <c r="B1094" s="3">
        <v>0</v>
      </c>
      <c r="C1094" s="3">
        <f>B1094*$K$4</f>
        <v>0</v>
      </c>
      <c r="D1094" s="3">
        <f>(E1093/$K$1)*$K$2*1</f>
        <v>1.15581128069733E-5</v>
      </c>
      <c r="E1094" s="3">
        <f t="shared" si="34"/>
        <v>1.4228925950984669E-3</v>
      </c>
      <c r="F1094" s="3">
        <f>E1094/$K$1</f>
        <v>1.7638435541074337E-4</v>
      </c>
      <c r="G1094" s="5">
        <f t="shared" si="35"/>
        <v>101324.99999857435</v>
      </c>
    </row>
    <row r="1095" spans="1:7" x14ac:dyDescent="0.25">
      <c r="A1095">
        <v>3493</v>
      </c>
      <c r="B1095" s="3">
        <v>0</v>
      </c>
      <c r="C1095" s="3">
        <f>B1095*$K$4</f>
        <v>0</v>
      </c>
      <c r="D1095" s="3">
        <f>(E1094/$K$1)*$K$2*1</f>
        <v>1.1464983101698319E-5</v>
      </c>
      <c r="E1095" s="3">
        <f t="shared" si="34"/>
        <v>1.4114276119967686E-3</v>
      </c>
      <c r="F1095" s="3">
        <f>E1095/$K$1</f>
        <v>1.749631352419448E-4</v>
      </c>
      <c r="G1095" s="5">
        <f t="shared" si="35"/>
        <v>101324.99999857435</v>
      </c>
    </row>
    <row r="1096" spans="1:7" x14ac:dyDescent="0.25">
      <c r="A1096">
        <v>3494</v>
      </c>
      <c r="B1096" s="3">
        <v>0</v>
      </c>
      <c r="C1096" s="3">
        <f>B1096*$K$4</f>
        <v>0</v>
      </c>
      <c r="D1096" s="3">
        <f>(E1095/$K$1)*$K$2*1</f>
        <v>1.1372603790726412E-5</v>
      </c>
      <c r="E1096" s="3">
        <f t="shared" si="34"/>
        <v>1.4000550082060423E-3</v>
      </c>
      <c r="F1096" s="3">
        <f>E1096/$K$1</f>
        <v>1.735533665806424E-4</v>
      </c>
      <c r="G1096" s="5">
        <f t="shared" si="35"/>
        <v>101324.99999857435</v>
      </c>
    </row>
    <row r="1097" spans="1:7" x14ac:dyDescent="0.25">
      <c r="A1097">
        <v>3495</v>
      </c>
      <c r="B1097" s="3">
        <v>0</v>
      </c>
      <c r="C1097" s="3">
        <f>B1097*$K$4</f>
        <v>0</v>
      </c>
      <c r="D1097" s="3">
        <f>(E1096/$K$1)*$K$2*1</f>
        <v>1.1280968827741757E-5</v>
      </c>
      <c r="E1097" s="3">
        <f t="shared" si="34"/>
        <v>1.3887740393783005E-3</v>
      </c>
      <c r="F1097" s="3">
        <f>E1097/$K$1</f>
        <v>1.7215495715610518E-4</v>
      </c>
      <c r="G1097" s="5">
        <f t="shared" si="35"/>
        <v>101324.99999857435</v>
      </c>
    </row>
    <row r="1098" spans="1:7" x14ac:dyDescent="0.25">
      <c r="A1098">
        <v>3496</v>
      </c>
      <c r="B1098" s="3">
        <v>0</v>
      </c>
      <c r="C1098" s="3">
        <f>B1098*$K$4</f>
        <v>0</v>
      </c>
      <c r="D1098" s="3">
        <f>(E1097/$K$1)*$K$2*1</f>
        <v>1.1190072215146838E-5</v>
      </c>
      <c r="E1098" s="3">
        <f t="shared" si="34"/>
        <v>1.3775839671631538E-3</v>
      </c>
      <c r="F1098" s="3">
        <f>E1098/$K$1</f>
        <v>1.7076781544107521E-4</v>
      </c>
      <c r="G1098" s="5">
        <f t="shared" si="35"/>
        <v>101324.99999857435</v>
      </c>
    </row>
    <row r="1099" spans="1:7" x14ac:dyDescent="0.25">
      <c r="A1099">
        <v>3497</v>
      </c>
      <c r="B1099" s="3">
        <v>0</v>
      </c>
      <c r="C1099" s="3">
        <f>B1099*$K$4</f>
        <v>0</v>
      </c>
      <c r="D1099" s="3">
        <f>(E1098/$K$1)*$K$2*1</f>
        <v>1.1099908003669889E-5</v>
      </c>
      <c r="E1099" s="3">
        <f t="shared" si="34"/>
        <v>1.3664840591594838E-3</v>
      </c>
      <c r="F1099" s="3">
        <f>E1099/$K$1</f>
        <v>1.6939185064577709E-4</v>
      </c>
      <c r="G1099" s="5">
        <f t="shared" si="35"/>
        <v>101324.99999857435</v>
      </c>
    </row>
    <row r="1100" spans="1:7" x14ac:dyDescent="0.25">
      <c r="A1100">
        <v>3498</v>
      </c>
      <c r="B1100" s="3">
        <v>0</v>
      </c>
      <c r="C1100" s="3">
        <f>B1100*$K$4</f>
        <v>0</v>
      </c>
      <c r="D1100" s="3">
        <f>(E1099/$K$1)*$K$2*1</f>
        <v>1.1010470291975512E-5</v>
      </c>
      <c r="E1100" s="3">
        <f t="shared" si="34"/>
        <v>1.3554735888675082E-3</v>
      </c>
      <c r="F1100" s="3">
        <f>E1100/$K$1</f>
        <v>1.6802697271197571E-4</v>
      </c>
      <c r="G1100" s="5">
        <f t="shared" si="35"/>
        <v>101324.99999857435</v>
      </c>
    </row>
    <row r="1101" spans="1:7" x14ac:dyDescent="0.25">
      <c r="A1101">
        <v>3499</v>
      </c>
      <c r="B1101" s="3">
        <v>0</v>
      </c>
      <c r="C1101" s="3">
        <f>B1101*$K$4</f>
        <v>0</v>
      </c>
      <c r="D1101" s="3">
        <f>(E1100/$K$1)*$K$2*1</f>
        <v>1.0921753226278422E-5</v>
      </c>
      <c r="E1101" s="3">
        <f t="shared" si="34"/>
        <v>1.3445518356412299E-3</v>
      </c>
      <c r="F1101" s="3">
        <f>E1101/$K$1</f>
        <v>1.6667309230708192E-4</v>
      </c>
      <c r="G1101" s="5">
        <f t="shared" si="35"/>
        <v>101324.99999857435</v>
      </c>
    </row>
    <row r="1102" spans="1:7" x14ac:dyDescent="0.25">
      <c r="A1102">
        <v>3500</v>
      </c>
      <c r="B1102" s="3">
        <v>0</v>
      </c>
      <c r="C1102" s="3">
        <f>B1102*$K$4</f>
        <v>0</v>
      </c>
      <c r="D1102" s="3">
        <f>(E1101/$K$1)*$K$2*1</f>
        <v>1.0833750999960325E-5</v>
      </c>
      <c r="E1102" s="3">
        <f t="shared" si="34"/>
        <v>1.3337180846412695E-3</v>
      </c>
      <c r="F1102" s="3">
        <f>E1102/$K$1</f>
        <v>1.6533012081830538E-4</v>
      </c>
      <c r="G1102" s="5">
        <f t="shared" si="35"/>
        <v>101324.99999857435</v>
      </c>
    </row>
    <row r="1103" spans="1:7" x14ac:dyDescent="0.25">
      <c r="A1103">
        <v>3501</v>
      </c>
      <c r="B1103" s="3">
        <v>0</v>
      </c>
      <c r="C1103" s="3">
        <f>B1103*$K$4</f>
        <v>0</v>
      </c>
      <c r="D1103" s="3">
        <f>(E1102/$K$1)*$K$2*1</f>
        <v>1.074645785318985E-5</v>
      </c>
      <c r="E1103" s="3">
        <f t="shared" si="34"/>
        <v>1.3229716267880796E-3</v>
      </c>
      <c r="F1103" s="3">
        <f>E1103/$K$1</f>
        <v>1.6399797034685504E-4</v>
      </c>
      <c r="G1103" s="5">
        <f t="shared" si="35"/>
        <v>101324.99999857435</v>
      </c>
    </row>
    <row r="1104" spans="1:7" x14ac:dyDescent="0.25">
      <c r="A1104">
        <v>3502</v>
      </c>
      <c r="B1104" s="3">
        <v>0</v>
      </c>
      <c r="C1104" s="3">
        <f>B1104*$K$4</f>
        <v>0</v>
      </c>
      <c r="D1104" s="3">
        <f>(E1103/$K$1)*$K$2*1</f>
        <v>1.0659868072545579E-5</v>
      </c>
      <c r="E1104" s="3">
        <f t="shared" si="34"/>
        <v>1.312311758715534E-3</v>
      </c>
      <c r="F1104" s="3">
        <f>E1104/$K$1</f>
        <v>1.6267655370218593E-4</v>
      </c>
      <c r="G1104" s="5">
        <f t="shared" si="35"/>
        <v>101324.99999857435</v>
      </c>
    </row>
    <row r="1105" spans="1:7" x14ac:dyDescent="0.25">
      <c r="A1105">
        <v>3503</v>
      </c>
      <c r="B1105" s="3">
        <v>0</v>
      </c>
      <c r="C1105" s="3">
        <f>B1105*$K$4</f>
        <v>0</v>
      </c>
      <c r="D1105" s="3">
        <f>(E1104/$K$1)*$K$2*1</f>
        <v>1.0573975990642087E-5</v>
      </c>
      <c r="E1105" s="3">
        <f t="shared" si="34"/>
        <v>1.3017377827248919E-3</v>
      </c>
      <c r="F1105" s="3">
        <f>E1105/$K$1</f>
        <v>1.6136578439629253E-4</v>
      </c>
      <c r="G1105" s="5">
        <f t="shared" si="35"/>
        <v>101324.99999857435</v>
      </c>
    </row>
    <row r="1106" spans="1:7" x14ac:dyDescent="0.25">
      <c r="A1106">
        <v>3504</v>
      </c>
      <c r="B1106" s="3">
        <v>0</v>
      </c>
      <c r="C1106" s="3">
        <f>B1106*$K$4</f>
        <v>0</v>
      </c>
      <c r="D1106" s="3">
        <f>(E1105/$K$1)*$K$2*1</f>
        <v>1.0488775985759014E-5</v>
      </c>
      <c r="E1106" s="3">
        <f t="shared" si="34"/>
        <v>1.2912490067391329E-3</v>
      </c>
      <c r="F1106" s="3">
        <f>E1106/$K$1</f>
        <v>1.6006557663804795E-4</v>
      </c>
      <c r="G1106" s="5">
        <f t="shared" si="35"/>
        <v>101324.99999857435</v>
      </c>
    </row>
    <row r="1107" spans="1:7" x14ac:dyDescent="0.25">
      <c r="A1107">
        <v>3505</v>
      </c>
      <c r="B1107" s="3">
        <v>0</v>
      </c>
      <c r="C1107" s="3">
        <f>B1107*$K$4</f>
        <v>0</v>
      </c>
      <c r="D1107" s="3">
        <f>(E1106/$K$1)*$K$2*1</f>
        <v>1.0404262481473116E-5</v>
      </c>
      <c r="E1107" s="3">
        <f t="shared" si="34"/>
        <v>1.2808447442576598E-3</v>
      </c>
      <c r="F1107" s="3">
        <f>E1107/$K$1</f>
        <v>1.587758453275889E-4</v>
      </c>
      <c r="G1107" s="5">
        <f t="shared" si="35"/>
        <v>101324.99999857435</v>
      </c>
    </row>
    <row r="1108" spans="1:7" x14ac:dyDescent="0.25">
      <c r="A1108">
        <v>3506</v>
      </c>
      <c r="B1108" s="3">
        <v>0</v>
      </c>
      <c r="C1108" s="3">
        <f>B1108*$K$4</f>
        <v>0</v>
      </c>
      <c r="D1108" s="3">
        <f>(E1107/$K$1)*$K$2*1</f>
        <v>1.0320429946293279E-5</v>
      </c>
      <c r="E1108" s="3">
        <f t="shared" si="34"/>
        <v>1.2705243143113665E-3</v>
      </c>
      <c r="F1108" s="3">
        <f>E1108/$K$1</f>
        <v>1.5749650605074582E-4</v>
      </c>
      <c r="G1108" s="5">
        <f t="shared" si="35"/>
        <v>101324.99999857435</v>
      </c>
    </row>
    <row r="1109" spans="1:7" x14ac:dyDescent="0.25">
      <c r="A1109">
        <v>3507</v>
      </c>
      <c r="B1109" s="3">
        <v>0</v>
      </c>
      <c r="C1109" s="3">
        <f>B1109*$K$4</f>
        <v>0</v>
      </c>
      <c r="D1109" s="3">
        <f>(E1108/$K$1)*$K$2*1</f>
        <v>1.0237272893298479E-5</v>
      </c>
      <c r="E1109" s="3">
        <f t="shared" si="34"/>
        <v>1.2602870414180681E-3</v>
      </c>
      <c r="F1109" s="3">
        <f>E1109/$K$1</f>
        <v>1.5622747507351779E-4</v>
      </c>
      <c r="G1109" s="5">
        <f t="shared" si="35"/>
        <v>101324.99999857435</v>
      </c>
    </row>
    <row r="1110" spans="1:7" x14ac:dyDescent="0.25">
      <c r="A1110">
        <v>3508</v>
      </c>
      <c r="B1110" s="3">
        <v>0</v>
      </c>
      <c r="C1110" s="3">
        <f>B1110*$K$4</f>
        <v>0</v>
      </c>
      <c r="D1110" s="3">
        <f>(E1109/$K$1)*$K$2*1</f>
        <v>1.0154785879778657E-5</v>
      </c>
      <c r="E1110" s="3">
        <f t="shared" si="34"/>
        <v>1.2501322555382895E-3</v>
      </c>
      <c r="F1110" s="3">
        <f>E1110/$K$1</f>
        <v>1.5496866933659221E-4</v>
      </c>
      <c r="G1110" s="5">
        <f t="shared" si="35"/>
        <v>101324.99999857435</v>
      </c>
    </row>
    <row r="1111" spans="1:7" x14ac:dyDescent="0.25">
      <c r="A1111">
        <v>3509</v>
      </c>
      <c r="B1111" s="3">
        <v>0</v>
      </c>
      <c r="C1111" s="3">
        <f>B1111*$K$4</f>
        <v>0</v>
      </c>
      <c r="D1111" s="3">
        <f>(E1110/$K$1)*$K$2*1</f>
        <v>1.0072963506878494E-5</v>
      </c>
      <c r="E1111" s="3">
        <f t="shared" si="34"/>
        <v>1.2400592920314109E-3</v>
      </c>
      <c r="F1111" s="3">
        <f>E1111/$K$1</f>
        <v>1.5372000644990838E-4</v>
      </c>
      <c r="G1111" s="5">
        <f t="shared" si="35"/>
        <v>101324.99999857435</v>
      </c>
    </row>
    <row r="1112" spans="1:7" x14ac:dyDescent="0.25">
      <c r="A1112">
        <v>3510</v>
      </c>
      <c r="B1112" s="3">
        <v>0</v>
      </c>
      <c r="C1112" s="3">
        <f>B1112*$K$4</f>
        <v>0</v>
      </c>
      <c r="D1112" s="3">
        <f>(E1111/$K$1)*$K$2*1</f>
        <v>9.991800419244046E-6</v>
      </c>
      <c r="E1112" s="3">
        <f t="shared" si="34"/>
        <v>1.2300674916121668E-3</v>
      </c>
      <c r="F1112" s="3">
        <f>E1112/$K$1</f>
        <v>1.52481404687265E-4</v>
      </c>
      <c r="G1112" s="5">
        <f t="shared" si="35"/>
        <v>101324.99999857435</v>
      </c>
    </row>
    <row r="1113" spans="1:7" x14ac:dyDescent="0.25">
      <c r="A1113">
        <v>3511</v>
      </c>
      <c r="B1113" s="3">
        <v>0</v>
      </c>
      <c r="C1113" s="3">
        <f>B1113*$K$4</f>
        <v>0</v>
      </c>
      <c r="D1113" s="3">
        <f>(E1112/$K$1)*$K$2*1</f>
        <v>9.9112913046722249E-6</v>
      </c>
      <c r="E1113" s="3">
        <f t="shared" si="34"/>
        <v>1.2201562003074946E-3</v>
      </c>
      <c r="F1113" s="3">
        <f>E1113/$K$1</f>
        <v>1.5125278298097118E-4</v>
      </c>
      <c r="G1113" s="5">
        <f t="shared" si="35"/>
        <v>101324.99999857435</v>
      </c>
    </row>
    <row r="1114" spans="1:7" x14ac:dyDescent="0.25">
      <c r="A1114">
        <v>3512</v>
      </c>
      <c r="B1114" s="3">
        <v>0</v>
      </c>
      <c r="C1114" s="3">
        <f>B1114*$K$4</f>
        <v>0</v>
      </c>
      <c r="D1114" s="3">
        <f>(E1113/$K$1)*$K$2*1</f>
        <v>9.8314308937631273E-6</v>
      </c>
      <c r="E1114" s="3">
        <f t="shared" si="34"/>
        <v>1.2103247694137315E-3</v>
      </c>
      <c r="F1114" s="3">
        <f>E1114/$K$1</f>
        <v>1.500340609165404E-4</v>
      </c>
      <c r="G1114" s="5">
        <f t="shared" si="35"/>
        <v>101324.99999857435</v>
      </c>
    </row>
    <row r="1115" spans="1:7" x14ac:dyDescent="0.25">
      <c r="A1115">
        <v>3513</v>
      </c>
      <c r="B1115" s="3">
        <v>0</v>
      </c>
      <c r="C1115" s="3">
        <f>B1115*$K$4</f>
        <v>0</v>
      </c>
      <c r="D1115" s="3">
        <f>(E1114/$K$1)*$K$2*1</f>
        <v>9.7522139595751268E-6</v>
      </c>
      <c r="E1115" s="3">
        <f t="shared" si="34"/>
        <v>1.2005725554541564E-3</v>
      </c>
      <c r="F1115" s="3">
        <f>E1115/$K$1</f>
        <v>1.4882515872742733E-4</v>
      </c>
      <c r="G1115" s="5">
        <f t="shared" si="35"/>
        <v>101324.99999857435</v>
      </c>
    </row>
    <row r="1116" spans="1:7" x14ac:dyDescent="0.25">
      <c r="A1116">
        <v>3514</v>
      </c>
      <c r="B1116" s="3">
        <v>0</v>
      </c>
      <c r="C1116" s="3">
        <f>B1116*$K$4</f>
        <v>0</v>
      </c>
      <c r="D1116" s="3">
        <f>(E1115/$K$1)*$K$2*1</f>
        <v>9.6736353172827761E-6</v>
      </c>
      <c r="E1116" s="3">
        <f t="shared" si="34"/>
        <v>1.1908989201368737E-3</v>
      </c>
      <c r="F1116" s="3">
        <f>E1116/$K$1</f>
        <v>1.4762599728980708E-4</v>
      </c>
      <c r="G1116" s="5">
        <f t="shared" si="35"/>
        <v>101324.99999857435</v>
      </c>
    </row>
    <row r="1117" spans="1:7" x14ac:dyDescent="0.25">
      <c r="A1117">
        <v>3515</v>
      </c>
      <c r="B1117" s="3">
        <v>0</v>
      </c>
      <c r="C1117" s="3">
        <f>B1117*$K$4</f>
        <v>0</v>
      </c>
      <c r="D1117" s="3">
        <f>(E1116/$K$1)*$K$2*1</f>
        <v>9.5956898238374601E-6</v>
      </c>
      <c r="E1117" s="3">
        <f t="shared" si="34"/>
        <v>1.1813032303130363E-3</v>
      </c>
      <c r="F1117" s="3">
        <f>E1117/$K$1</f>
        <v>1.4643649811739635E-4</v>
      </c>
      <c r="G1117" s="5">
        <f t="shared" si="35"/>
        <v>101324.99999857435</v>
      </c>
    </row>
    <row r="1118" spans="1:7" x14ac:dyDescent="0.25">
      <c r="A1118">
        <v>3516</v>
      </c>
      <c r="B1118" s="3">
        <v>0</v>
      </c>
      <c r="C1118" s="3">
        <f>B1118*$K$4</f>
        <v>0</v>
      </c>
      <c r="D1118" s="3">
        <f>(E1117/$K$1)*$K$2*1</f>
        <v>9.5183723776307628E-6</v>
      </c>
      <c r="E1118" s="3">
        <f t="shared" si="34"/>
        <v>1.1717848579354056E-3</v>
      </c>
      <c r="F1118" s="3">
        <f>E1118/$K$1</f>
        <v>1.4525658335631653E-4</v>
      </c>
      <c r="G1118" s="5">
        <f t="shared" si="35"/>
        <v>101324.99999857435</v>
      </c>
    </row>
    <row r="1119" spans="1:7" x14ac:dyDescent="0.25">
      <c r="A1119">
        <v>3517</v>
      </c>
      <c r="B1119" s="3">
        <v>0</v>
      </c>
      <c r="C1119" s="3">
        <f>B1119*$K$4</f>
        <v>0</v>
      </c>
      <c r="D1119" s="3">
        <f>(E1118/$K$1)*$K$2*1</f>
        <v>9.4416779181605757E-6</v>
      </c>
      <c r="E1119" s="3">
        <f t="shared" si="34"/>
        <v>1.162343180017245E-3</v>
      </c>
      <c r="F1119" s="3">
        <f>E1119/$K$1</f>
        <v>1.4408617577999814E-4</v>
      </c>
      <c r="G1119" s="5">
        <f t="shared" si="35"/>
        <v>101324.99999857435</v>
      </c>
    </row>
    <row r="1120" spans="1:7" x14ac:dyDescent="0.25">
      <c r="A1120">
        <v>3518</v>
      </c>
      <c r="B1120" s="3">
        <v>0</v>
      </c>
      <c r="C1120" s="3">
        <f>B1120*$K$4</f>
        <v>0</v>
      </c>
      <c r="D1120" s="3">
        <f>(E1119/$K$1)*$K$2*1</f>
        <v>9.3656014256998789E-6</v>
      </c>
      <c r="E1120" s="3">
        <f t="shared" si="34"/>
        <v>1.152977578591545E-3</v>
      </c>
      <c r="F1120" s="3">
        <f>E1120/$K$1</f>
        <v>1.4292519878412606E-4</v>
      </c>
      <c r="G1120" s="5">
        <f t="shared" si="35"/>
        <v>101324.99999857435</v>
      </c>
    </row>
    <row r="1121" spans="1:7" x14ac:dyDescent="0.25">
      <c r="A1121">
        <v>3519</v>
      </c>
      <c r="B1121" s="3">
        <v>0</v>
      </c>
      <c r="C1121" s="3">
        <f>B1121*$K$4</f>
        <v>0</v>
      </c>
      <c r="D1121" s="3">
        <f>(E1120/$K$1)*$K$2*1</f>
        <v>9.2901379209681939E-6</v>
      </c>
      <c r="E1121" s="3">
        <f t="shared" si="34"/>
        <v>1.1436874406705769E-3</v>
      </c>
      <c r="F1121" s="3">
        <f>E1121/$K$1</f>
        <v>1.4177357638162598E-4</v>
      </c>
      <c r="G1121" s="5">
        <f t="shared" si="35"/>
        <v>101324.99999857435</v>
      </c>
    </row>
    <row r="1122" spans="1:7" x14ac:dyDescent="0.25">
      <c r="A1122">
        <v>3520</v>
      </c>
      <c r="B1122" s="3">
        <v>0</v>
      </c>
      <c r="C1122" s="3">
        <f>B1122*$K$4</f>
        <v>0</v>
      </c>
      <c r="D1122" s="3">
        <f>(E1121/$K$1)*$K$2*1</f>
        <v>9.2152824648056897E-6</v>
      </c>
      <c r="E1122" s="3">
        <f t="shared" si="34"/>
        <v>1.1344721582057713E-3</v>
      </c>
      <c r="F1122" s="3">
        <f>E1122/$K$1</f>
        <v>1.4063123319769073E-4</v>
      </c>
      <c r="G1122" s="5">
        <f t="shared" si="35"/>
        <v>101324.99999857435</v>
      </c>
    </row>
    <row r="1123" spans="1:7" x14ac:dyDescent="0.25">
      <c r="A1123">
        <v>3521</v>
      </c>
      <c r="B1123" s="3">
        <v>0</v>
      </c>
      <c r="C1123" s="3">
        <f>B1123*$K$4</f>
        <v>0</v>
      </c>
      <c r="D1123" s="3">
        <f>(E1122/$K$1)*$K$2*1</f>
        <v>9.1410301578498987E-6</v>
      </c>
      <c r="E1123" s="3">
        <f t="shared" si="34"/>
        <v>1.1253311280479215E-3</v>
      </c>
      <c r="F1123" s="3">
        <f>E1123/$K$1</f>
        <v>1.3949809446484708E-4</v>
      </c>
      <c r="G1123" s="5">
        <f t="shared" si="35"/>
        <v>101324.99999857435</v>
      </c>
    </row>
    <row r="1124" spans="1:7" x14ac:dyDescent="0.25">
      <c r="A1124">
        <v>3522</v>
      </c>
      <c r="B1124" s="3">
        <v>0</v>
      </c>
      <c r="C1124" s="3">
        <f>B1124*$K$4</f>
        <v>0</v>
      </c>
      <c r="D1124" s="3">
        <f>(E1123/$K$1)*$K$2*1</f>
        <v>9.0673761402150609E-6</v>
      </c>
      <c r="E1124" s="3">
        <f t="shared" si="34"/>
        <v>1.1162637519077064E-3</v>
      </c>
      <c r="F1124" s="3">
        <f>E1124/$K$1</f>
        <v>1.3837408601806203E-4</v>
      </c>
      <c r="G1124" s="5">
        <f t="shared" si="35"/>
        <v>101324.99999857435</v>
      </c>
    </row>
    <row r="1125" spans="1:7" x14ac:dyDescent="0.25">
      <c r="A1125">
        <v>3523</v>
      </c>
      <c r="B1125" s="3">
        <v>0</v>
      </c>
      <c r="C1125" s="3">
        <f>B1125*$K$4</f>
        <v>0</v>
      </c>
      <c r="D1125" s="3">
        <f>(E1124/$K$1)*$K$2*1</f>
        <v>8.9943155911740322E-6</v>
      </c>
      <c r="E1125" s="3">
        <f t="shared" si="34"/>
        <v>1.1072694363165323E-3</v>
      </c>
      <c r="F1125" s="3">
        <f>E1125/$K$1</f>
        <v>1.3725913428988871E-4</v>
      </c>
      <c r="G1125" s="5">
        <f t="shared" si="35"/>
        <v>101324.99999857435</v>
      </c>
    </row>
    <row r="1126" spans="1:7" x14ac:dyDescent="0.25">
      <c r="A1126">
        <v>3524</v>
      </c>
      <c r="B1126" s="3">
        <v>0</v>
      </c>
      <c r="C1126" s="3">
        <f>B1126*$K$4</f>
        <v>0</v>
      </c>
      <c r="D1126" s="3">
        <f>(E1125/$K$1)*$K$2*1</f>
        <v>8.9218437288427665E-6</v>
      </c>
      <c r="E1126" s="3">
        <f t="shared" si="34"/>
        <v>1.0983475925876896E-3</v>
      </c>
      <c r="F1126" s="3">
        <f>E1126/$K$1</f>
        <v>1.3615316630565137E-4</v>
      </c>
      <c r="G1126" s="5">
        <f t="shared" si="35"/>
        <v>101324.99999857435</v>
      </c>
    </row>
    <row r="1127" spans="1:7" x14ac:dyDescent="0.25">
      <c r="A1127">
        <v>3525</v>
      </c>
      <c r="B1127" s="3">
        <v>0</v>
      </c>
      <c r="C1127" s="3">
        <f>B1127*$K$4</f>
        <v>0</v>
      </c>
      <c r="D1127" s="3">
        <f>(E1126/$K$1)*$K$2*1</f>
        <v>8.8499558098673389E-6</v>
      </c>
      <c r="E1127" s="3">
        <f t="shared" si="34"/>
        <v>1.0894976367778223E-3</v>
      </c>
      <c r="F1127" s="3">
        <f>E1127/$K$1</f>
        <v>1.3505610967866894E-4</v>
      </c>
      <c r="G1127" s="5">
        <f t="shared" si="35"/>
        <v>101324.99999857435</v>
      </c>
    </row>
    <row r="1128" spans="1:7" x14ac:dyDescent="0.25">
      <c r="A1128">
        <v>3526</v>
      </c>
      <c r="B1128" s="3">
        <v>0</v>
      </c>
      <c r="C1128" s="3">
        <f>B1128*$K$4</f>
        <v>0</v>
      </c>
      <c r="D1128" s="3">
        <f>(E1127/$K$1)*$K$2*1</f>
        <v>8.7786471291134807E-6</v>
      </c>
      <c r="E1128" s="3">
        <f t="shared" si="34"/>
        <v>1.0807189896487089E-3</v>
      </c>
      <c r="F1128" s="3">
        <f>E1128/$K$1</f>
        <v>1.3396789260551741E-4</v>
      </c>
      <c r="G1128" s="5">
        <f t="shared" si="35"/>
        <v>101324.99999857435</v>
      </c>
    </row>
    <row r="1129" spans="1:7" x14ac:dyDescent="0.25">
      <c r="A1129">
        <v>3527</v>
      </c>
      <c r="B1129" s="3">
        <v>0</v>
      </c>
      <c r="C1129" s="3">
        <f>B1129*$K$4</f>
        <v>0</v>
      </c>
      <c r="D1129" s="3">
        <f>(E1128/$K$1)*$K$2*1</f>
        <v>8.707913019358632E-6</v>
      </c>
      <c r="E1129" s="3">
        <f t="shared" si="34"/>
        <v>1.0720110766293503E-3</v>
      </c>
      <c r="F1129" s="3">
        <f>E1129/$K$1</f>
        <v>1.3288844386133016E-4</v>
      </c>
      <c r="G1129" s="5">
        <f t="shared" si="35"/>
        <v>101324.99999857435</v>
      </c>
    </row>
    <row r="1130" spans="1:7" x14ac:dyDescent="0.25">
      <c r="A1130">
        <v>3528</v>
      </c>
      <c r="B1130" s="3">
        <v>0</v>
      </c>
      <c r="C1130" s="3">
        <f>B1130*$K$4</f>
        <v>0</v>
      </c>
      <c r="D1130" s="3">
        <f>(E1129/$K$1)*$K$2*1</f>
        <v>8.6377488509864599E-6</v>
      </c>
      <c r="E1130" s="3">
        <f t="shared" si="34"/>
        <v>1.063373327778364E-3</v>
      </c>
      <c r="F1130" s="3">
        <f>E1130/$K$1</f>
        <v>1.3181769279513623E-4</v>
      </c>
      <c r="G1130" s="5">
        <f t="shared" si="35"/>
        <v>101324.99999857435</v>
      </c>
    </row>
    <row r="1131" spans="1:7" x14ac:dyDescent="0.25">
      <c r="A1131">
        <v>3529</v>
      </c>
      <c r="B1131" s="3">
        <v>0</v>
      </c>
      <c r="C1131" s="3">
        <f>B1131*$K$4</f>
        <v>0</v>
      </c>
      <c r="D1131" s="3">
        <f>(E1130/$K$1)*$K$2*1</f>
        <v>8.5681500316838555E-6</v>
      </c>
      <c r="E1131" s="3">
        <f t="shared" si="34"/>
        <v>1.05480517774668E-3</v>
      </c>
      <c r="F1131" s="3">
        <f>E1131/$K$1</f>
        <v>1.3075556932523616E-4</v>
      </c>
      <c r="G1131" s="5">
        <f t="shared" si="35"/>
        <v>101324.99999857435</v>
      </c>
    </row>
    <row r="1132" spans="1:7" x14ac:dyDescent="0.25">
      <c r="A1132">
        <v>3530</v>
      </c>
      <c r="B1132" s="3">
        <v>0</v>
      </c>
      <c r="C1132" s="3">
        <f>B1132*$K$4</f>
        <v>0</v>
      </c>
      <c r="D1132" s="3">
        <f>(E1131/$K$1)*$K$2*1</f>
        <v>8.499112006140351E-6</v>
      </c>
      <c r="E1132" s="3">
        <f t="shared" si="34"/>
        <v>1.0463060657405396E-3</v>
      </c>
      <c r="F1132" s="3">
        <f>E1132/$K$1</f>
        <v>1.2970200393461504E-4</v>
      </c>
      <c r="G1132" s="5">
        <f t="shared" si="35"/>
        <v>101324.99999857435</v>
      </c>
    </row>
    <row r="1133" spans="1:7" x14ac:dyDescent="0.25">
      <c r="A1133">
        <v>3531</v>
      </c>
      <c r="B1133" s="3">
        <v>0</v>
      </c>
      <c r="C1133" s="3">
        <f>B1133*$K$4</f>
        <v>0</v>
      </c>
      <c r="D1133" s="3">
        <f>(E1132/$K$1)*$K$2*1</f>
        <v>8.4306302557499778E-6</v>
      </c>
      <c r="E1133" s="3">
        <f t="shared" si="34"/>
        <v>1.0378754354847897E-3</v>
      </c>
      <c r="F1133" s="3">
        <f>E1133/$K$1</f>
        <v>1.2865692766639267E-4</v>
      </c>
      <c r="G1133" s="5">
        <f t="shared" si="35"/>
        <v>101324.99999857435</v>
      </c>
    </row>
    <row r="1134" spans="1:7" x14ac:dyDescent="0.25">
      <c r="A1134">
        <v>3532</v>
      </c>
      <c r="B1134" s="3">
        <v>0</v>
      </c>
      <c r="C1134" s="3">
        <f>B1134*$K$4</f>
        <v>0</v>
      </c>
      <c r="D1134" s="3">
        <f>(E1133/$K$1)*$K$2*1</f>
        <v>8.3627002983155244E-6</v>
      </c>
      <c r="E1134" s="3">
        <f t="shared" si="34"/>
        <v>1.0295127351864742E-3</v>
      </c>
      <c r="F1134" s="3">
        <f>E1134/$K$1</f>
        <v>1.2762027211931005E-4</v>
      </c>
      <c r="G1134" s="5">
        <f t="shared" si="35"/>
        <v>101324.99999857435</v>
      </c>
    </row>
    <row r="1135" spans="1:7" x14ac:dyDescent="0.25">
      <c r="A1135">
        <v>3533</v>
      </c>
      <c r="B1135" s="3">
        <v>0</v>
      </c>
      <c r="C1135" s="3">
        <f>B1135*$K$4</f>
        <v>0</v>
      </c>
      <c r="D1135" s="3">
        <f>(E1134/$K$1)*$K$2*1</f>
        <v>8.2953176877551539E-6</v>
      </c>
      <c r="E1135" s="3">
        <f t="shared" si="34"/>
        <v>1.021217417498719E-3</v>
      </c>
      <c r="F1135" s="3">
        <f>E1135/$K$1</f>
        <v>1.2659196944325262E-4</v>
      </c>
      <c r="G1135" s="5">
        <f t="shared" si="35"/>
        <v>101324.99999857435</v>
      </c>
    </row>
    <row r="1136" spans="1:7" x14ac:dyDescent="0.25">
      <c r="A1136">
        <v>3534</v>
      </c>
      <c r="B1136" s="3">
        <v>0</v>
      </c>
      <c r="C1136" s="3">
        <f>B1136*$K$4</f>
        <v>0</v>
      </c>
      <c r="D1136" s="3">
        <f>(E1135/$K$1)*$K$2*1</f>
        <v>8.2284780138114201E-6</v>
      </c>
      <c r="E1136" s="3">
        <f t="shared" si="34"/>
        <v>1.0129889394849077E-3</v>
      </c>
      <c r="F1136" s="3">
        <f>E1136/$K$1</f>
        <v>1.2557195233480942E-4</v>
      </c>
      <c r="G1136" s="5">
        <f t="shared" si="35"/>
        <v>101324.99999857435</v>
      </c>
    </row>
    <row r="1137" spans="1:7" x14ac:dyDescent="0.25">
      <c r="A1137">
        <v>3535</v>
      </c>
      <c r="B1137" s="3">
        <v>0</v>
      </c>
      <c r="C1137" s="3">
        <f>B1137*$K$4</f>
        <v>0</v>
      </c>
      <c r="D1137" s="3">
        <f>(E1136/$K$1)*$K$2*1</f>
        <v>8.1621769017626129E-6</v>
      </c>
      <c r="E1137" s="3">
        <f t="shared" si="34"/>
        <v>1.004826762583145E-3</v>
      </c>
      <c r="F1137" s="3">
        <f>E1137/$K$1</f>
        <v>1.2456015403286785E-4</v>
      </c>
      <c r="G1137" s="5">
        <f t="shared" si="35"/>
        <v>101324.99999857435</v>
      </c>
    </row>
    <row r="1138" spans="1:7" x14ac:dyDescent="0.25">
      <c r="A1138">
        <v>3536</v>
      </c>
      <c r="B1138" s="3">
        <v>0</v>
      </c>
      <c r="C1138" s="3">
        <f>B1138*$K$4</f>
        <v>0</v>
      </c>
      <c r="D1138" s="3">
        <f>(E1137/$K$1)*$K$2*1</f>
        <v>8.09641001213641E-6</v>
      </c>
      <c r="E1138" s="3">
        <f t="shared" si="34"/>
        <v>9.9673035257100855E-4</v>
      </c>
      <c r="F1138" s="3">
        <f>E1138/$K$1</f>
        <v>1.2355650831424427E-4</v>
      </c>
      <c r="G1138" s="5">
        <f t="shared" si="35"/>
        <v>101324.99999857435</v>
      </c>
    </row>
    <row r="1139" spans="1:7" x14ac:dyDescent="0.25">
      <c r="A1139">
        <v>3537</v>
      </c>
      <c r="B1139" s="3">
        <v>0</v>
      </c>
      <c r="C1139" s="3">
        <f>B1139*$K$4</f>
        <v>0</v>
      </c>
      <c r="D1139" s="3">
        <f>(E1138/$K$1)*$K$2*1</f>
        <v>8.0311730404258787E-6</v>
      </c>
      <c r="E1139" s="3">
        <f t="shared" si="34"/>
        <v>9.8869917953058268E-4</v>
      </c>
      <c r="F1139" s="3">
        <f>E1139/$K$1</f>
        <v>1.2256094948934952E-4</v>
      </c>
      <c r="G1139" s="5">
        <f t="shared" si="35"/>
        <v>101324.99999857435</v>
      </c>
    </row>
    <row r="1140" spans="1:7" x14ac:dyDescent="0.25">
      <c r="A1140">
        <v>3538</v>
      </c>
      <c r="B1140" s="3">
        <v>0</v>
      </c>
      <c r="C1140" s="3">
        <f>B1140*$K$4</f>
        <v>0</v>
      </c>
      <c r="D1140" s="3">
        <f>(E1139/$K$1)*$K$2*1</f>
        <v>7.9664617168077191E-6</v>
      </c>
      <c r="E1140" s="3">
        <f t="shared" si="34"/>
        <v>9.80732717813775E-4</v>
      </c>
      <c r="F1140" s="3">
        <f>E1140/$K$1</f>
        <v>1.2157341239788954E-4</v>
      </c>
      <c r="G1140" s="5">
        <f t="shared" si="35"/>
        <v>101324.99999857435</v>
      </c>
    </row>
    <row r="1141" spans="1:7" x14ac:dyDescent="0.25">
      <c r="A1141">
        <v>3539</v>
      </c>
      <c r="B1141" s="3">
        <v>0</v>
      </c>
      <c r="C1141" s="3">
        <f>B1141*$K$4</f>
        <v>0</v>
      </c>
      <c r="D1141" s="3">
        <f>(E1140/$K$1)*$K$2*1</f>
        <v>7.9022718058628206E-6</v>
      </c>
      <c r="E1141" s="3">
        <f t="shared" si="34"/>
        <v>9.7283044600791218E-4</v>
      </c>
      <c r="F1141" s="3">
        <f>E1141/$K$1</f>
        <v>1.2059383240460049E-4</v>
      </c>
      <c r="G1141" s="5">
        <f t="shared" si="35"/>
        <v>101324.99999857435</v>
      </c>
    </row>
    <row r="1142" spans="1:7" x14ac:dyDescent="0.25">
      <c r="A1142">
        <v>3540</v>
      </c>
      <c r="B1142" s="3">
        <v>0</v>
      </c>
      <c r="C1142" s="3">
        <f>B1142*$K$4</f>
        <v>0</v>
      </c>
      <c r="D1142" s="3">
        <f>(E1141/$K$1)*$K$2*1</f>
        <v>7.838599106299032E-6</v>
      </c>
      <c r="E1142" s="3">
        <f t="shared" si="34"/>
        <v>9.6499184690161319E-4</v>
      </c>
      <c r="F1142" s="3">
        <f>E1142/$K$1</f>
        <v>1.1962214539501837E-4</v>
      </c>
      <c r="G1142" s="5">
        <f t="shared" si="35"/>
        <v>101324.99999857435</v>
      </c>
    </row>
    <row r="1143" spans="1:7" x14ac:dyDescent="0.25">
      <c r="A1143">
        <v>3541</v>
      </c>
      <c r="B1143" s="3">
        <v>0</v>
      </c>
      <c r="C1143" s="3">
        <f>B1143*$K$4</f>
        <v>0</v>
      </c>
      <c r="D1143" s="3">
        <f>(E1142/$K$1)*$K$2*1</f>
        <v>7.7754394506761939E-6</v>
      </c>
      <c r="E1143" s="3">
        <f t="shared" si="34"/>
        <v>9.5721640745093702E-4</v>
      </c>
      <c r="F1143" s="3">
        <f>E1143/$K$1</f>
        <v>1.1865828777128263E-4</v>
      </c>
      <c r="G1143" s="5">
        <f t="shared" si="35"/>
        <v>101324.99999857435</v>
      </c>
    </row>
    <row r="1144" spans="1:7" x14ac:dyDescent="0.25">
      <c r="A1144">
        <v>3542</v>
      </c>
      <c r="B1144" s="3">
        <v>0</v>
      </c>
      <c r="C1144" s="3">
        <f>B1144*$K$4</f>
        <v>0</v>
      </c>
      <c r="D1144" s="3">
        <f>(E1143/$K$1)*$K$2*1</f>
        <v>7.7127887051333722E-6</v>
      </c>
      <c r="E1144" s="3">
        <f t="shared" si="34"/>
        <v>9.495036187458037E-4</v>
      </c>
      <c r="F1144" s="3">
        <f>E1144/$K$1</f>
        <v>1.1770219644797368E-4</v>
      </c>
      <c r="G1144" s="5">
        <f t="shared" si="35"/>
        <v>101324.99999857435</v>
      </c>
    </row>
    <row r="1145" spans="1:7" x14ac:dyDescent="0.25">
      <c r="A1145">
        <v>3543</v>
      </c>
      <c r="B1145" s="3">
        <v>0</v>
      </c>
      <c r="C1145" s="3">
        <f>B1145*$K$4</f>
        <v>0</v>
      </c>
      <c r="D1145" s="3">
        <f>(E1144/$K$1)*$K$2*1</f>
        <v>7.6506427691182904E-6</v>
      </c>
      <c r="E1145" s="3">
        <f t="shared" si="34"/>
        <v>9.418529759766854E-4</v>
      </c>
      <c r="F1145" s="3">
        <f>E1145/$K$1</f>
        <v>1.167538088479838E-4</v>
      </c>
      <c r="G1145" s="5">
        <f t="shared" si="35"/>
        <v>101324.99999857435</v>
      </c>
    </row>
    <row r="1146" spans="1:7" x14ac:dyDescent="0.25">
      <c r="A1146">
        <v>3544</v>
      </c>
      <c r="B1146" s="3">
        <v>0</v>
      </c>
      <c r="C1146" s="3">
        <f>B1146*$K$4</f>
        <v>0</v>
      </c>
      <c r="D1146" s="3">
        <f>(E1145/$K$1)*$K$2*1</f>
        <v>7.588997575118947E-6</v>
      </c>
      <c r="E1146" s="3">
        <f t="shared" si="34"/>
        <v>9.3426397840156643E-4</v>
      </c>
      <c r="F1146" s="3">
        <f>E1146/$K$1</f>
        <v>1.1581306289842152E-4</v>
      </c>
      <c r="G1146" s="5">
        <f t="shared" si="35"/>
        <v>101324.99999857435</v>
      </c>
    </row>
    <row r="1147" spans="1:7" x14ac:dyDescent="0.25">
      <c r="A1147">
        <v>3545</v>
      </c>
      <c r="B1147" s="3">
        <v>0</v>
      </c>
      <c r="C1147" s="3">
        <f>B1147*$K$4</f>
        <v>0</v>
      </c>
      <c r="D1147" s="3">
        <f>(E1146/$K$1)*$K$2*1</f>
        <v>7.5278490883973994E-6</v>
      </c>
      <c r="E1147" s="3">
        <f t="shared" si="34"/>
        <v>9.2673612931316906E-4</v>
      </c>
      <c r="F1147" s="3">
        <f>E1147/$K$1</f>
        <v>1.1487989702654878E-4</v>
      </c>
      <c r="G1147" s="5">
        <f t="shared" si="35"/>
        <v>101324.99999857435</v>
      </c>
    </row>
    <row r="1148" spans="1:7" x14ac:dyDescent="0.25">
      <c r="A1148">
        <v>3546</v>
      </c>
      <c r="B1148" s="3">
        <v>0</v>
      </c>
      <c r="C1148" s="3">
        <f>B1148*$K$4</f>
        <v>0</v>
      </c>
      <c r="D1148" s="3">
        <f>(E1147/$K$1)*$K$2*1</f>
        <v>7.4671933067256713E-6</v>
      </c>
      <c r="E1148" s="3">
        <f t="shared" si="34"/>
        <v>9.1926893600644335E-4</v>
      </c>
      <c r="F1148" s="3">
        <f>E1148/$K$1</f>
        <v>1.13954250155751E-4</v>
      </c>
      <c r="G1148" s="5">
        <f t="shared" si="35"/>
        <v>101324.99999857435</v>
      </c>
    </row>
    <row r="1149" spans="1:7" x14ac:dyDescent="0.25">
      <c r="A1149">
        <v>3547</v>
      </c>
      <c r="B1149" s="3">
        <v>0</v>
      </c>
      <c r="C1149" s="3">
        <f>B1149*$K$4</f>
        <v>0</v>
      </c>
      <c r="D1149" s="3">
        <f>(E1148/$K$1)*$K$2*1</f>
        <v>7.4070262601238154E-6</v>
      </c>
      <c r="E1149" s="3">
        <f t="shared" si="34"/>
        <v>9.1186190974631954E-4</v>
      </c>
      <c r="F1149" s="3">
        <f>E1149/$K$1</f>
        <v>1.1303606170153954E-4</v>
      </c>
      <c r="G1149" s="5">
        <f t="shared" si="35"/>
        <v>101324.99999857435</v>
      </c>
    </row>
    <row r="1150" spans="1:7" x14ac:dyDescent="0.25">
      <c r="A1150">
        <v>3548</v>
      </c>
      <c r="B1150" s="3">
        <v>0</v>
      </c>
      <c r="C1150" s="3">
        <f>B1150*$K$4</f>
        <v>0</v>
      </c>
      <c r="D1150" s="3">
        <f>(E1149/$K$1)*$K$2*1</f>
        <v>7.3473440106000705E-6</v>
      </c>
      <c r="E1150" s="3">
        <f t="shared" si="34"/>
        <v>9.0451456573571948E-4</v>
      </c>
      <c r="F1150" s="3">
        <f>E1150/$K$1</f>
        <v>1.121252715675864E-4</v>
      </c>
      <c r="G1150" s="5">
        <f t="shared" si="35"/>
        <v>101324.99999857435</v>
      </c>
    </row>
    <row r="1151" spans="1:7" x14ac:dyDescent="0.25">
      <c r="A1151">
        <v>3549</v>
      </c>
      <c r="B1151" s="3">
        <v>0</v>
      </c>
      <c r="C1151" s="3">
        <f>B1151*$K$4</f>
        <v>0</v>
      </c>
      <c r="D1151" s="3">
        <f>(E1150/$K$1)*$K$2*1</f>
        <v>7.2881426518931162E-6</v>
      </c>
      <c r="E1151" s="3">
        <f t="shared" si="34"/>
        <v>8.9722642308382632E-4</v>
      </c>
      <c r="F1151" s="3">
        <f>E1151/$K$1</f>
        <v>1.112218201417908E-4</v>
      </c>
      <c r="G1151" s="5">
        <f t="shared" si="35"/>
        <v>101324.99999857435</v>
      </c>
    </row>
    <row r="1152" spans="1:7" x14ac:dyDescent="0.25">
      <c r="A1152">
        <v>3550</v>
      </c>
      <c r="B1152" s="3">
        <v>0</v>
      </c>
      <c r="C1152" s="3">
        <f>B1152*$K$4</f>
        <v>0</v>
      </c>
      <c r="D1152" s="3">
        <f>(E1151/$K$1)*$K$2*1</f>
        <v>7.2294183092164017E-6</v>
      </c>
      <c r="E1152" s="3">
        <f t="shared" si="34"/>
        <v>8.8999700477460997E-4</v>
      </c>
      <c r="F1152" s="3">
        <f>E1152/$K$1</f>
        <v>1.1032564829237758E-4</v>
      </c>
      <c r="G1152" s="5">
        <f t="shared" si="35"/>
        <v>101324.99999857435</v>
      </c>
    </row>
    <row r="1153" spans="1:7" x14ac:dyDescent="0.25">
      <c r="A1153">
        <v>3551</v>
      </c>
      <c r="B1153" s="3">
        <v>0</v>
      </c>
      <c r="C1153" s="3">
        <f>B1153*$K$4</f>
        <v>0</v>
      </c>
      <c r="D1153" s="3">
        <f>(E1152/$K$1)*$K$2*1</f>
        <v>7.171167139004543E-6</v>
      </c>
      <c r="E1153" s="3">
        <f t="shared" si="34"/>
        <v>8.8282583763560547E-4</v>
      </c>
      <c r="F1153" s="3">
        <f>E1153/$K$1</f>
        <v>1.0943669736402696E-4</v>
      </c>
      <c r="G1153" s="5">
        <f t="shared" si="35"/>
        <v>101324.99999857435</v>
      </c>
    </row>
    <row r="1154" spans="1:7" x14ac:dyDescent="0.25">
      <c r="A1154">
        <v>3552</v>
      </c>
      <c r="B1154" s="3">
        <v>0</v>
      </c>
      <c r="C1154" s="3">
        <f>B1154*$K$4</f>
        <v>0</v>
      </c>
      <c r="D1154" s="3">
        <f>(E1153/$K$1)*$K$2*1</f>
        <v>7.1133853286617526E-6</v>
      </c>
      <c r="E1154" s="3">
        <f t="shared" si="34"/>
        <v>8.757124523069437E-4</v>
      </c>
      <c r="F1154" s="3">
        <f>E1154/$K$1</f>
        <v>1.0855490917403542E-4</v>
      </c>
      <c r="G1154" s="5">
        <f t="shared" si="35"/>
        <v>101324.99999857435</v>
      </c>
    </row>
    <row r="1155" spans="1:7" x14ac:dyDescent="0.25">
      <c r="A1155">
        <v>3553</v>
      </c>
      <c r="B1155" s="3">
        <v>0</v>
      </c>
      <c r="C1155" s="3">
        <f>B1155*$K$4</f>
        <v>0</v>
      </c>
      <c r="D1155" s="3">
        <f>(E1154/$K$1)*$K$2*1</f>
        <v>7.0560690963123025E-6</v>
      </c>
      <c r="E1155" s="3">
        <f t="shared" si="34"/>
        <v>8.686563832106314E-4</v>
      </c>
      <c r="F1155" s="3">
        <f>E1155/$K$1</f>
        <v>1.0768022600850767E-4</v>
      </c>
      <c r="G1155" s="5">
        <f t="shared" si="35"/>
        <v>101324.99999857435</v>
      </c>
    </row>
    <row r="1156" spans="1:7" x14ac:dyDescent="0.25">
      <c r="A1156">
        <v>3554</v>
      </c>
      <c r="B1156" s="3">
        <v>0</v>
      </c>
      <c r="C1156" s="3">
        <f>B1156*$K$4</f>
        <v>0</v>
      </c>
      <c r="D1156" s="3">
        <f>(E1155/$K$1)*$K$2*1</f>
        <v>6.9992146905529986E-6</v>
      </c>
      <c r="E1156" s="3">
        <f t="shared" ref="E1156:E1202" si="36">E1155+C1156-D1156</f>
        <v>8.6165716852007837E-4</v>
      </c>
      <c r="F1156" s="3">
        <f>E1156/$K$1</f>
        <v>1.068125906185792E-4</v>
      </c>
      <c r="G1156" s="5">
        <f t="shared" ref="G1156:G1202" si="37">G1155+C1156-$K$5*$K$9*SQRT(MAX(0,2*$K$6*(G1155-$K$11)))</f>
        <v>101324.99999857435</v>
      </c>
    </row>
    <row r="1157" spans="1:7" x14ac:dyDescent="0.25">
      <c r="A1157">
        <v>3555</v>
      </c>
      <c r="B1157" s="3">
        <v>0</v>
      </c>
      <c r="C1157" s="3">
        <f>B1157*$K$4</f>
        <v>0</v>
      </c>
      <c r="D1157" s="3">
        <f>(E1156/$K$1)*$K$2*1</f>
        <v>6.9428183902076483E-6</v>
      </c>
      <c r="E1157" s="3">
        <f t="shared" si="36"/>
        <v>8.5471435012987075E-4</v>
      </c>
      <c r="F1157" s="3">
        <f>E1157/$K$1</f>
        <v>1.0595194621666924E-4</v>
      </c>
      <c r="G1157" s="5">
        <f t="shared" si="37"/>
        <v>101324.99999857435</v>
      </c>
    </row>
    <row r="1158" spans="1:7" x14ac:dyDescent="0.25">
      <c r="A1158">
        <v>3556</v>
      </c>
      <c r="B1158" s="3">
        <v>0</v>
      </c>
      <c r="C1158" s="3">
        <f>B1158*$K$4</f>
        <v>0</v>
      </c>
      <c r="D1158" s="3">
        <f>(E1157/$K$1)*$K$2*1</f>
        <v>6.8868765040835009E-6</v>
      </c>
      <c r="E1158" s="3">
        <f t="shared" si="36"/>
        <v>8.4782747362578724E-4</v>
      </c>
      <c r="F1158" s="3">
        <f>E1158/$K$1</f>
        <v>1.0509823647276401E-4</v>
      </c>
      <c r="G1158" s="5">
        <f t="shared" si="37"/>
        <v>101324.99999857435</v>
      </c>
    </row>
    <row r="1159" spans="1:7" x14ac:dyDescent="0.25">
      <c r="A1159">
        <v>3557</v>
      </c>
      <c r="B1159" s="3">
        <v>0</v>
      </c>
      <c r="C1159" s="3">
        <f>B1159*$K$4</f>
        <v>0</v>
      </c>
      <c r="D1159" s="3">
        <f>(E1158/$K$1)*$K$2*1</f>
        <v>6.8313853707296609E-6</v>
      </c>
      <c r="E1159" s="3">
        <f t="shared" si="36"/>
        <v>8.4099608825505756E-4</v>
      </c>
      <c r="F1159" s="3">
        <f>E1159/$K$1</f>
        <v>1.0425140551072983E-4</v>
      </c>
      <c r="G1159" s="5">
        <f t="shared" si="37"/>
        <v>101324.99999857435</v>
      </c>
    </row>
    <row r="1160" spans="1:7" x14ac:dyDescent="0.25">
      <c r="A1160">
        <v>3558</v>
      </c>
      <c r="B1160" s="3">
        <v>0</v>
      </c>
      <c r="C1160" s="3">
        <f>B1160*$K$4</f>
        <v>0</v>
      </c>
      <c r="D1160" s="3">
        <f>(E1159/$K$1)*$K$2*1</f>
        <v>6.7763413581974393E-6</v>
      </c>
      <c r="E1160" s="3">
        <f t="shared" si="36"/>
        <v>8.3421974689686009E-4</v>
      </c>
      <c r="F1160" s="3">
        <f>E1160/$K$1</f>
        <v>1.0341139790465602E-4</v>
      </c>
      <c r="G1160" s="5">
        <f t="shared" si="37"/>
        <v>101324.99999857435</v>
      </c>
    </row>
    <row r="1161" spans="1:7" x14ac:dyDescent="0.25">
      <c r="A1161">
        <v>3559</v>
      </c>
      <c r="B1161" s="3">
        <v>0</v>
      </c>
      <c r="C1161" s="3">
        <f>B1161*$K$4</f>
        <v>0</v>
      </c>
      <c r="D1161" s="3">
        <f>(E1160/$K$1)*$K$2*1</f>
        <v>6.7217408638026417E-6</v>
      </c>
      <c r="E1161" s="3">
        <f t="shared" si="36"/>
        <v>8.2749800603305749E-4</v>
      </c>
      <c r="F1161" s="3">
        <f>E1161/$K$1</f>
        <v>1.0257815867522715E-4</v>
      </c>
      <c r="G1161" s="5">
        <f t="shared" si="37"/>
        <v>101324.99999857435</v>
      </c>
    </row>
    <row r="1162" spans="1:7" x14ac:dyDescent="0.25">
      <c r="A1162">
        <v>3560</v>
      </c>
      <c r="B1162" s="3">
        <v>0</v>
      </c>
      <c r="C1162" s="3">
        <f>B1162*$K$4</f>
        <v>0</v>
      </c>
      <c r="D1162" s="3">
        <f>(E1161/$K$1)*$K$2*1</f>
        <v>6.6675803138897653E-6</v>
      </c>
      <c r="E1162" s="3">
        <f t="shared" si="36"/>
        <v>8.2083042571916775E-4</v>
      </c>
      <c r="F1162" s="3">
        <f>E1162/$K$1</f>
        <v>1.0175163328612467E-4</v>
      </c>
      <c r="G1162" s="5">
        <f t="shared" si="37"/>
        <v>101324.99999857435</v>
      </c>
    </row>
    <row r="1163" spans="1:7" x14ac:dyDescent="0.25">
      <c r="A1163">
        <v>3561</v>
      </c>
      <c r="B1163" s="3">
        <v>0</v>
      </c>
      <c r="C1163" s="3">
        <f>B1163*$K$4</f>
        <v>0</v>
      </c>
      <c r="D1163" s="3">
        <f>(E1162/$K$1)*$K$2*1</f>
        <v>6.6138561635981033E-6</v>
      </c>
      <c r="E1163" s="3">
        <f t="shared" si="36"/>
        <v>8.1421656955556968E-4</v>
      </c>
      <c r="F1163" s="3">
        <f>E1163/$K$1</f>
        <v>1.0093176764045738E-4</v>
      </c>
      <c r="G1163" s="5">
        <f t="shared" si="37"/>
        <v>101324.99999857435</v>
      </c>
    </row>
    <row r="1164" spans="1:7" x14ac:dyDescent="0.25">
      <c r="A1164">
        <v>3562</v>
      </c>
      <c r="B1164" s="3">
        <v>0</v>
      </c>
      <c r="C1164" s="3">
        <f>B1164*$K$4</f>
        <v>0</v>
      </c>
      <c r="D1164" s="3">
        <f>(E1163/$K$1)*$K$2*1</f>
        <v>6.5605648966297301E-6</v>
      </c>
      <c r="E1164" s="3">
        <f t="shared" si="36"/>
        <v>8.0765600465893992E-4</v>
      </c>
      <c r="F1164" s="3">
        <f>E1164/$K$1</f>
        <v>1.0011850807722076E-4</v>
      </c>
      <c r="G1164" s="5">
        <f t="shared" si="37"/>
        <v>101324.99999857435</v>
      </c>
    </row>
    <row r="1165" spans="1:7" x14ac:dyDescent="0.25">
      <c r="A1165">
        <v>3563</v>
      </c>
      <c r="B1165" s="3">
        <v>0</v>
      </c>
      <c r="C1165" s="3">
        <f>B1165*$K$4</f>
        <v>0</v>
      </c>
      <c r="D1165" s="3">
        <f>(E1164/$K$1)*$K$2*1</f>
        <v>6.5077030250193503E-6</v>
      </c>
      <c r="E1165" s="3">
        <f t="shared" si="36"/>
        <v>8.0114830163392054E-4</v>
      </c>
      <c r="F1165" s="3">
        <f>E1165/$K$1</f>
        <v>9.9311801367784873E-5</v>
      </c>
      <c r="G1165" s="5">
        <f t="shared" si="37"/>
        <v>101324.99999857435</v>
      </c>
    </row>
    <row r="1166" spans="1:7" x14ac:dyDescent="0.25">
      <c r="A1166">
        <v>3564</v>
      </c>
      <c r="B1166" s="3">
        <v>0</v>
      </c>
      <c r="C1166" s="3">
        <f>B1166*$K$4</f>
        <v>0</v>
      </c>
      <c r="D1166" s="3">
        <f>(E1165/$K$1)*$K$2*1</f>
        <v>6.4552670889060168E-6</v>
      </c>
      <c r="E1166" s="3">
        <f t="shared" si="36"/>
        <v>7.9469303454501449E-4</v>
      </c>
      <c r="F1166" s="3">
        <f>E1166/$K$1</f>
        <v>9.8511594712410373E-5</v>
      </c>
      <c r="G1166" s="5">
        <f t="shared" si="37"/>
        <v>101324.99999857435</v>
      </c>
    </row>
    <row r="1167" spans="1:7" x14ac:dyDescent="0.25">
      <c r="A1167">
        <v>3565</v>
      </c>
      <c r="B1167" s="3">
        <v>0</v>
      </c>
      <c r="C1167" s="3">
        <f>B1167*$K$4</f>
        <v>0</v>
      </c>
      <c r="D1167" s="3">
        <f>(E1166/$K$1)*$K$2*1</f>
        <v>6.4032536563066748E-6</v>
      </c>
      <c r="E1167" s="3">
        <f t="shared" si="36"/>
        <v>7.8828978088870782E-4</v>
      </c>
      <c r="F1167" s="3">
        <f>E1167/$K$1</f>
        <v>9.771783573679284E-5</v>
      </c>
      <c r="G1167" s="5">
        <f t="shared" si="37"/>
        <v>101324.99999857435</v>
      </c>
    </row>
    <row r="1168" spans="1:7" x14ac:dyDescent="0.25">
      <c r="A1168">
        <v>3566</v>
      </c>
      <c r="B1168" s="3">
        <v>0</v>
      </c>
      <c r="C1168" s="3">
        <f>B1168*$K$4</f>
        <v>0</v>
      </c>
      <c r="D1168" s="3">
        <f>(E1167/$K$1)*$K$2*1</f>
        <v>6.3516593228915345E-6</v>
      </c>
      <c r="E1168" s="3">
        <f t="shared" si="36"/>
        <v>7.8193812156581626E-4</v>
      </c>
      <c r="F1168" s="3">
        <f>E1168/$K$1</f>
        <v>9.693047248863472E-5</v>
      </c>
      <c r="G1168" s="5">
        <f t="shared" si="37"/>
        <v>101324.99999857435</v>
      </c>
    </row>
    <row r="1169" spans="1:7" x14ac:dyDescent="0.25">
      <c r="A1169">
        <v>3567</v>
      </c>
      <c r="B1169" s="3">
        <v>0</v>
      </c>
      <c r="C1169" s="3">
        <f>B1169*$K$4</f>
        <v>0</v>
      </c>
      <c r="D1169" s="3">
        <f>(E1168/$K$1)*$K$2*1</f>
        <v>6.3004807117612574E-6</v>
      </c>
      <c r="E1169" s="3">
        <f t="shared" si="36"/>
        <v>7.7563764085405496E-4</v>
      </c>
      <c r="F1169" s="3">
        <f>E1169/$K$1</f>
        <v>9.6149453434245071E-5</v>
      </c>
      <c r="G1169" s="5">
        <f t="shared" si="37"/>
        <v>101324.99999857435</v>
      </c>
    </row>
    <row r="1170" spans="1:7" x14ac:dyDescent="0.25">
      <c r="A1170">
        <v>3568</v>
      </c>
      <c r="B1170" s="3">
        <v>0</v>
      </c>
      <c r="C1170" s="3">
        <f>B1170*$K$4</f>
        <v>0</v>
      </c>
      <c r="D1170" s="3">
        <f>(E1169/$K$1)*$K$2*1</f>
        <v>6.2497144732259299E-6</v>
      </c>
      <c r="E1170" s="3">
        <f t="shared" si="36"/>
        <v>7.6938792638082899E-4</v>
      </c>
      <c r="F1170" s="3">
        <f>E1170/$K$1</f>
        <v>9.5374727455166606E-5</v>
      </c>
      <c r="G1170" s="5">
        <f t="shared" si="37"/>
        <v>101324.99999857435</v>
      </c>
    </row>
    <row r="1171" spans="1:7" x14ac:dyDescent="0.25">
      <c r="A1171">
        <v>3569</v>
      </c>
      <c r="B1171" s="3">
        <v>0</v>
      </c>
      <c r="C1171" s="3">
        <f>B1171*$K$4</f>
        <v>0</v>
      </c>
      <c r="D1171" s="3">
        <f>(E1170/$K$1)*$K$2*1</f>
        <v>6.19935728458583E-6</v>
      </c>
      <c r="E1171" s="3">
        <f t="shared" si="36"/>
        <v>7.6318856909624315E-4</v>
      </c>
      <c r="F1171" s="3">
        <f>E1171/$K$1</f>
        <v>9.4606243844829943E-5</v>
      </c>
      <c r="G1171" s="5">
        <f t="shared" si="37"/>
        <v>101324.99999857435</v>
      </c>
    </row>
    <row r="1172" spans="1:7" x14ac:dyDescent="0.25">
      <c r="A1172">
        <v>3570</v>
      </c>
      <c r="B1172" s="3">
        <v>0</v>
      </c>
      <c r="C1172" s="3">
        <f>B1172*$K$4</f>
        <v>0</v>
      </c>
      <c r="D1172" s="3">
        <f>(E1171/$K$1)*$K$2*1</f>
        <v>6.1494058499139463E-6</v>
      </c>
      <c r="E1172" s="3">
        <f t="shared" si="36"/>
        <v>7.5703916324632926E-4</v>
      </c>
      <c r="F1172" s="3">
        <f>E1172/$K$1</f>
        <v>9.3843952305234807E-5</v>
      </c>
      <c r="G1172" s="5">
        <f t="shared" si="37"/>
        <v>101324.99999857435</v>
      </c>
    </row>
    <row r="1173" spans="1:7" x14ac:dyDescent="0.25">
      <c r="A1173">
        <v>3571</v>
      </c>
      <c r="B1173" s="3">
        <v>0</v>
      </c>
      <c r="C1173" s="3">
        <f>B1173*$K$4</f>
        <v>0</v>
      </c>
      <c r="D1173" s="3">
        <f>(E1172/$K$1)*$K$2*1</f>
        <v>6.0998568998402629E-6</v>
      </c>
      <c r="E1173" s="3">
        <f t="shared" si="36"/>
        <v>7.5093930634648903E-4</v>
      </c>
      <c r="F1173" s="3">
        <f>E1173/$K$1</f>
        <v>9.3087802943657986E-5</v>
      </c>
      <c r="G1173" s="5">
        <f t="shared" si="37"/>
        <v>101324.99999857435</v>
      </c>
    </row>
    <row r="1174" spans="1:7" x14ac:dyDescent="0.25">
      <c r="A1174">
        <v>3572</v>
      </c>
      <c r="B1174" s="3">
        <v>0</v>
      </c>
      <c r="C1174" s="3">
        <f>B1174*$K$4</f>
        <v>0</v>
      </c>
      <c r="D1174" s="3">
        <f>(E1173/$K$1)*$K$2*1</f>
        <v>6.0507071913377695E-6</v>
      </c>
      <c r="E1174" s="3">
        <f t="shared" si="36"/>
        <v>7.4488859915515125E-4</v>
      </c>
      <c r="F1174" s="3">
        <f>E1174/$K$1</f>
        <v>9.2337746269387778E-5</v>
      </c>
      <c r="G1174" s="5">
        <f t="shared" si="37"/>
        <v>101324.99999857435</v>
      </c>
    </row>
    <row r="1175" spans="1:7" x14ac:dyDescent="0.25">
      <c r="A1175">
        <v>3573</v>
      </c>
      <c r="B1175" s="3">
        <v>0</v>
      </c>
      <c r="C1175" s="3">
        <f>B1175*$K$4</f>
        <v>0</v>
      </c>
      <c r="D1175" s="3">
        <f>(E1174/$K$1)*$K$2*1</f>
        <v>6.0019535075102055E-6</v>
      </c>
      <c r="E1175" s="3">
        <f t="shared" si="36"/>
        <v>7.3888664564764105E-4</v>
      </c>
      <c r="F1175" s="3">
        <f>E1175/$K$1</f>
        <v>9.1593733190484822E-5</v>
      </c>
      <c r="G1175" s="5">
        <f t="shared" si="37"/>
        <v>101324.99999857435</v>
      </c>
    </row>
    <row r="1176" spans="1:7" x14ac:dyDescent="0.25">
      <c r="A1176">
        <v>3574</v>
      </c>
      <c r="B1176" s="3">
        <v>0</v>
      </c>
      <c r="C1176" s="3">
        <f>B1176*$K$4</f>
        <v>0</v>
      </c>
      <c r="D1176" s="3">
        <f>(E1175/$K$1)*$K$2*1</f>
        <v>5.9535926573815138E-6</v>
      </c>
      <c r="E1176" s="3">
        <f t="shared" si="36"/>
        <v>7.3293305299025949E-4</v>
      </c>
      <c r="F1176" s="3">
        <f>E1176/$K$1</f>
        <v>9.0855715010568924E-5</v>
      </c>
      <c r="G1176" s="5">
        <f t="shared" si="37"/>
        <v>101324.99999857435</v>
      </c>
    </row>
    <row r="1177" spans="1:7" x14ac:dyDescent="0.25">
      <c r="A1177">
        <v>3575</v>
      </c>
      <c r="B1177" s="3">
        <v>0</v>
      </c>
      <c r="C1177" s="3">
        <f>B1177*$K$4</f>
        <v>0</v>
      </c>
      <c r="D1177" s="3">
        <f>(E1176/$K$1)*$K$2*1</f>
        <v>5.9056214756869801E-6</v>
      </c>
      <c r="E1177" s="3">
        <f t="shared" si="36"/>
        <v>7.2702743151457255E-4</v>
      </c>
      <c r="F1177" s="3">
        <f>E1177/$K$1</f>
        <v>9.0123643425631898E-5</v>
      </c>
      <c r="G1177" s="5">
        <f t="shared" si="37"/>
        <v>101324.99999857435</v>
      </c>
    </row>
    <row r="1178" spans="1:7" x14ac:dyDescent="0.25">
      <c r="A1178">
        <v>3576</v>
      </c>
      <c r="B1178" s="3">
        <v>0</v>
      </c>
      <c r="C1178" s="3">
        <f>B1178*$K$4</f>
        <v>0</v>
      </c>
      <c r="D1178" s="3">
        <f>(E1177/$K$1)*$K$2*1</f>
        <v>5.8580368226660733E-6</v>
      </c>
      <c r="E1178" s="3">
        <f t="shared" si="36"/>
        <v>7.2116939469190646E-4</v>
      </c>
      <c r="F1178" s="3">
        <f>E1178/$K$1</f>
        <v>8.9397470520875962E-5</v>
      </c>
      <c r="G1178" s="5">
        <f t="shared" si="37"/>
        <v>101324.99999857435</v>
      </c>
    </row>
    <row r="1179" spans="1:7" x14ac:dyDescent="0.25">
      <c r="A1179">
        <v>3577</v>
      </c>
      <c r="B1179" s="3">
        <v>0</v>
      </c>
      <c r="C1179" s="3">
        <f>B1179*$K$4</f>
        <v>0</v>
      </c>
      <c r="D1179" s="3">
        <f>(E1178/$K$1)*$K$2*1</f>
        <v>5.8108355838569377E-6</v>
      </c>
      <c r="E1179" s="3">
        <f t="shared" si="36"/>
        <v>7.1535855910804949E-4</v>
      </c>
      <c r="F1179" s="3">
        <f>E1179/$K$1</f>
        <v>8.8677148767577716E-5</v>
      </c>
      <c r="G1179" s="5">
        <f t="shared" si="37"/>
        <v>101324.99999857435</v>
      </c>
    </row>
    <row r="1180" spans="1:7" x14ac:dyDescent="0.25">
      <c r="A1180">
        <v>3578</v>
      </c>
      <c r="B1180" s="3">
        <v>0</v>
      </c>
      <c r="C1180" s="3">
        <f>B1180*$K$4</f>
        <v>0</v>
      </c>
      <c r="D1180" s="3">
        <f>(E1179/$K$1)*$K$2*1</f>
        <v>5.7640146698925516E-6</v>
      </c>
      <c r="E1180" s="3">
        <f t="shared" si="36"/>
        <v>7.0959454443815691E-4</v>
      </c>
      <c r="F1180" s="3">
        <f>E1180/$K$1</f>
        <v>8.7962631019977301E-5</v>
      </c>
      <c r="G1180" s="5">
        <f t="shared" si="37"/>
        <v>101324.99999857435</v>
      </c>
    </row>
    <row r="1181" spans="1:7" x14ac:dyDescent="0.25">
      <c r="A1181">
        <v>3579</v>
      </c>
      <c r="B1181" s="3">
        <v>0</v>
      </c>
      <c r="C1181" s="3">
        <f>B1181*$K$4</f>
        <v>0</v>
      </c>
      <c r="D1181" s="3">
        <f>(E1180/$K$1)*$K$2*1</f>
        <v>5.7175710162985249E-6</v>
      </c>
      <c r="E1181" s="3">
        <f t="shared" si="36"/>
        <v>7.038769734218584E-4</v>
      </c>
      <c r="F1181" s="3">
        <f>E1181/$K$1</f>
        <v>8.7253870512192684E-5</v>
      </c>
      <c r="G1181" s="5">
        <f t="shared" si="37"/>
        <v>101324.99999857435</v>
      </c>
    </row>
    <row r="1182" spans="1:7" x14ac:dyDescent="0.25">
      <c r="A1182">
        <v>3580</v>
      </c>
      <c r="B1182" s="3">
        <v>0</v>
      </c>
      <c r="C1182" s="3">
        <f>B1182*$K$4</f>
        <v>0</v>
      </c>
      <c r="D1182" s="3">
        <f>(E1181/$K$1)*$K$2*1</f>
        <v>5.6715015832925247E-6</v>
      </c>
      <c r="E1182" s="3">
        <f t="shared" si="36"/>
        <v>6.9820547183856586E-4</v>
      </c>
      <c r="F1182" s="3">
        <f>E1182/$K$1</f>
        <v>8.6550820855158778E-5</v>
      </c>
      <c r="G1182" s="5">
        <f t="shared" si="37"/>
        <v>101324.99999857435</v>
      </c>
    </row>
    <row r="1183" spans="1:7" x14ac:dyDescent="0.25">
      <c r="A1183">
        <v>3581</v>
      </c>
      <c r="B1183" s="3">
        <v>0</v>
      </c>
      <c r="C1183" s="3">
        <f>B1183*$K$4</f>
        <v>0</v>
      </c>
      <c r="D1183" s="3">
        <f>(E1182/$K$1)*$K$2*1</f>
        <v>5.6258033555853209E-6</v>
      </c>
      <c r="E1183" s="3">
        <f t="shared" si="36"/>
        <v>6.9257966848298058E-4</v>
      </c>
      <c r="F1183" s="3">
        <f>E1183/$K$1</f>
        <v>8.5853436033591238E-5</v>
      </c>
      <c r="G1183" s="5">
        <f t="shared" si="37"/>
        <v>101324.99999857435</v>
      </c>
    </row>
    <row r="1184" spans="1:7" x14ac:dyDescent="0.25">
      <c r="A1184">
        <v>3582</v>
      </c>
      <c r="B1184" s="3">
        <v>0</v>
      </c>
      <c r="C1184" s="3">
        <f>B1184*$K$4</f>
        <v>0</v>
      </c>
      <c r="D1184" s="3">
        <f>(E1183/$K$1)*$K$2*1</f>
        <v>5.5804733421834303E-6</v>
      </c>
      <c r="E1184" s="3">
        <f t="shared" si="36"/>
        <v>6.8699919514079717E-4</v>
      </c>
      <c r="F1184" s="3">
        <f>E1184/$K$1</f>
        <v>8.5161670402974731E-5</v>
      </c>
      <c r="G1184" s="5">
        <f t="shared" si="37"/>
        <v>101324.99999857435</v>
      </c>
    </row>
    <row r="1185" spans="1:7" x14ac:dyDescent="0.25">
      <c r="A1185">
        <v>3583</v>
      </c>
      <c r="B1185" s="3">
        <v>0</v>
      </c>
      <c r="C1185" s="3">
        <f>B1185*$K$4</f>
        <v>0</v>
      </c>
      <c r="D1185" s="3">
        <f>(E1184/$K$1)*$K$2*1</f>
        <v>5.5355085761933577E-6</v>
      </c>
      <c r="E1185" s="3">
        <f t="shared" si="36"/>
        <v>6.8146368656460377E-4</v>
      </c>
      <c r="F1185" s="3">
        <f>E1185/$K$1</f>
        <v>8.4475478686575397E-5</v>
      </c>
      <c r="G1185" s="5">
        <f t="shared" si="37"/>
        <v>101324.99999857435</v>
      </c>
    </row>
    <row r="1186" spans="1:7" x14ac:dyDescent="0.25">
      <c r="A1186">
        <v>3584</v>
      </c>
      <c r="B1186" s="3">
        <v>0</v>
      </c>
      <c r="C1186" s="3">
        <f>B1186*$K$4</f>
        <v>0</v>
      </c>
      <c r="D1186" s="3">
        <f>(E1185/$K$1)*$K$2*1</f>
        <v>5.4909061146274009E-6</v>
      </c>
      <c r="E1186" s="3">
        <f t="shared" si="36"/>
        <v>6.759727804499764E-4</v>
      </c>
      <c r="F1186" s="3">
        <f>E1186/$K$1</f>
        <v>8.3794815972477551E-5</v>
      </c>
      <c r="G1186" s="5">
        <f t="shared" si="37"/>
        <v>101324.99999857435</v>
      </c>
    </row>
    <row r="1187" spans="1:7" x14ac:dyDescent="0.25">
      <c r="A1187">
        <v>3585</v>
      </c>
      <c r="B1187" s="3">
        <v>0</v>
      </c>
      <c r="C1187" s="3">
        <f>B1187*$K$4</f>
        <v>0</v>
      </c>
      <c r="D1187" s="3">
        <f>(E1186/$K$1)*$K$2*1</f>
        <v>5.4466630382110406E-6</v>
      </c>
      <c r="E1187" s="3">
        <f t="shared" si="36"/>
        <v>6.7052611741176538E-4</v>
      </c>
      <c r="F1187" s="3">
        <f>E1187/$K$1</f>
        <v>8.3119637710644031E-5</v>
      </c>
      <c r="G1187" s="5">
        <f t="shared" si="37"/>
        <v>101324.99999857435</v>
      </c>
    </row>
    <row r="1188" spans="1:7" x14ac:dyDescent="0.25">
      <c r="A1188">
        <v>3586</v>
      </c>
      <c r="B1188" s="3">
        <v>0</v>
      </c>
      <c r="C1188" s="3">
        <f>B1188*$K$4</f>
        <v>0</v>
      </c>
      <c r="D1188" s="3">
        <f>(E1187/$K$1)*$K$2*1</f>
        <v>5.4027764511918618E-6</v>
      </c>
      <c r="E1188" s="3">
        <f t="shared" si="36"/>
        <v>6.6512334096057346E-4</v>
      </c>
      <c r="F1188" s="3">
        <f>E1188/$K$1</f>
        <v>8.2449899710000427E-5</v>
      </c>
      <c r="G1188" s="5">
        <f t="shared" si="37"/>
        <v>101324.99999857435</v>
      </c>
    </row>
    <row r="1189" spans="1:7" x14ac:dyDescent="0.25">
      <c r="A1189">
        <v>3587</v>
      </c>
      <c r="B1189" s="3">
        <v>0</v>
      </c>
      <c r="C1189" s="3">
        <f>B1189*$K$4</f>
        <v>0</v>
      </c>
      <c r="D1189" s="3">
        <f>(E1188/$K$1)*$K$2*1</f>
        <v>5.3592434811500281E-6</v>
      </c>
      <c r="E1189" s="3">
        <f t="shared" si="36"/>
        <v>6.5976409747942348E-4</v>
      </c>
      <c r="F1189" s="3">
        <f>E1189/$K$1</f>
        <v>8.1785558135542765E-5</v>
      </c>
      <c r="G1189" s="5">
        <f t="shared" si="37"/>
        <v>101324.99999857435</v>
      </c>
    </row>
    <row r="1190" spans="1:7" x14ac:dyDescent="0.25">
      <c r="A1190">
        <v>3588</v>
      </c>
      <c r="B1190" s="3">
        <v>0</v>
      </c>
      <c r="C1190" s="3">
        <f>B1190*$K$4</f>
        <v>0</v>
      </c>
      <c r="D1190" s="3">
        <f>(E1189/$K$1)*$K$2*1</f>
        <v>5.3160612788102795E-6</v>
      </c>
      <c r="E1190" s="3">
        <f t="shared" si="36"/>
        <v>6.5444803620061322E-4</v>
      </c>
      <c r="F1190" s="3">
        <f>E1190/$K$1</f>
        <v>8.1126569505468346E-5</v>
      </c>
      <c r="G1190" s="5">
        <f t="shared" si="37"/>
        <v>101324.99999857435</v>
      </c>
    </row>
    <row r="1191" spans="1:7" x14ac:dyDescent="0.25">
      <c r="A1191">
        <v>3589</v>
      </c>
      <c r="B1191" s="3">
        <v>0</v>
      </c>
      <c r="C1191" s="3">
        <f>B1191*$K$4</f>
        <v>0</v>
      </c>
      <c r="D1191" s="3">
        <f>(E1190/$K$1)*$K$2*1</f>
        <v>5.273227017855443E-6</v>
      </c>
      <c r="E1191" s="3">
        <f t="shared" si="36"/>
        <v>6.4917480918275778E-4</v>
      </c>
      <c r="F1191" s="3">
        <f>E1191/$K$1</f>
        <v>8.047289068832996E-5</v>
      </c>
      <c r="G1191" s="5">
        <f t="shared" si="37"/>
        <v>101324.99999857435</v>
      </c>
    </row>
    <row r="1192" spans="1:7" x14ac:dyDescent="0.25">
      <c r="A1192">
        <v>3590</v>
      </c>
      <c r="B1192" s="3">
        <v>0</v>
      </c>
      <c r="C1192" s="3">
        <f>B1192*$K$4</f>
        <v>0</v>
      </c>
      <c r="D1192" s="3">
        <f>(E1191/$K$1)*$K$2*1</f>
        <v>5.2307378947414479E-6</v>
      </c>
      <c r="E1192" s="3">
        <f t="shared" si="36"/>
        <v>6.4394407128801632E-4</v>
      </c>
      <c r="F1192" s="3">
        <f>E1192/$K$1</f>
        <v>7.9824478900212753E-5</v>
      </c>
      <c r="G1192" s="5">
        <f t="shared" si="37"/>
        <v>101324.99999857435</v>
      </c>
    </row>
    <row r="1193" spans="1:7" x14ac:dyDescent="0.25">
      <c r="A1193">
        <v>3591</v>
      </c>
      <c r="B1193" s="3">
        <v>0</v>
      </c>
      <c r="C1193" s="3">
        <f>B1193*$K$4</f>
        <v>0</v>
      </c>
      <c r="D1193" s="3">
        <f>(E1192/$K$1)*$K$2*1</f>
        <v>5.1885911285138294E-6</v>
      </c>
      <c r="E1193" s="3">
        <f t="shared" si="36"/>
        <v>6.3875548015950251E-4</v>
      </c>
      <c r="F1193" s="3">
        <f>E1193/$K$1</f>
        <v>7.9181291701934119E-5</v>
      </c>
      <c r="G1193" s="5">
        <f t="shared" si="37"/>
        <v>101324.99999857435</v>
      </c>
    </row>
    <row r="1194" spans="1:7" x14ac:dyDescent="0.25">
      <c r="A1194">
        <v>3592</v>
      </c>
      <c r="B1194" s="3">
        <v>0</v>
      </c>
      <c r="C1194" s="3">
        <f>B1194*$K$4</f>
        <v>0</v>
      </c>
      <c r="D1194" s="3">
        <f>(E1193/$K$1)*$K$2*1</f>
        <v>5.1467839606257175E-6</v>
      </c>
      <c r="E1194" s="3">
        <f t="shared" si="36"/>
        <v>6.3360869619887678E-4</v>
      </c>
      <c r="F1194" s="3">
        <f>E1194/$K$1</f>
        <v>7.8543286996265874E-5</v>
      </c>
      <c r="G1194" s="5">
        <f t="shared" si="37"/>
        <v>101324.99999857435</v>
      </c>
    </row>
    <row r="1195" spans="1:7" x14ac:dyDescent="0.25">
      <c r="A1195">
        <v>3593</v>
      </c>
      <c r="B1195" s="3">
        <v>0</v>
      </c>
      <c r="C1195" s="3">
        <f>B1195*$K$4</f>
        <v>0</v>
      </c>
      <c r="D1195" s="3">
        <f>(E1194/$K$1)*$K$2*1</f>
        <v>5.105313654757282E-6</v>
      </c>
      <c r="E1195" s="3">
        <f t="shared" si="36"/>
        <v>6.2850338254411952E-4</v>
      </c>
      <c r="F1195" s="3">
        <f>E1195/$K$1</f>
        <v>7.7910423025179059E-5</v>
      </c>
      <c r="G1195" s="5">
        <f t="shared" si="37"/>
        <v>101324.99999857435</v>
      </c>
    </row>
    <row r="1196" spans="1:7" x14ac:dyDescent="0.25">
      <c r="A1196">
        <v>3594</v>
      </c>
      <c r="B1196" s="3">
        <v>0</v>
      </c>
      <c r="C1196" s="3">
        <f>B1196*$K$4</f>
        <v>0</v>
      </c>
      <c r="D1196" s="3">
        <f>(E1195/$K$1)*$K$2*1</f>
        <v>5.0641774966366387E-6</v>
      </c>
      <c r="E1196" s="3">
        <f t="shared" si="36"/>
        <v>6.2343920504748284E-4</v>
      </c>
      <c r="F1196" s="3">
        <f>E1196/$K$1</f>
        <v>7.7282658367110798E-5</v>
      </c>
      <c r="G1196" s="5">
        <f t="shared" si="37"/>
        <v>101324.99999857435</v>
      </c>
    </row>
    <row r="1197" spans="1:7" x14ac:dyDescent="0.25">
      <c r="A1197">
        <v>3595</v>
      </c>
      <c r="B1197" s="3">
        <v>0</v>
      </c>
      <c r="C1197" s="3">
        <f>B1197*$K$4</f>
        <v>0</v>
      </c>
      <c r="D1197" s="3">
        <f>(E1196/$K$1)*$K$2*1</f>
        <v>5.0233727938622024E-6</v>
      </c>
      <c r="E1197" s="3">
        <f t="shared" si="36"/>
        <v>6.184158322536206E-4</v>
      </c>
      <c r="F1197" s="3">
        <f>E1197/$K$1</f>
        <v>7.6659951934253198E-5</v>
      </c>
      <c r="G1197" s="5">
        <f t="shared" si="37"/>
        <v>101324.99999857435</v>
      </c>
    </row>
    <row r="1198" spans="1:7" x14ac:dyDescent="0.25">
      <c r="A1198">
        <v>3596</v>
      </c>
      <c r="B1198" s="3">
        <v>0</v>
      </c>
      <c r="C1198" s="3">
        <f>B1198*$K$4</f>
        <v>0</v>
      </c>
      <c r="D1198" s="3">
        <f>(E1197/$K$1)*$K$2*1</f>
        <v>4.9828968757264578E-6</v>
      </c>
      <c r="E1198" s="3">
        <f t="shared" si="36"/>
        <v>6.1343293537789419E-4</v>
      </c>
      <c r="F1198" s="3">
        <f>E1198/$K$1</f>
        <v>7.6042262969864161E-5</v>
      </c>
      <c r="G1198" s="5">
        <f t="shared" si="37"/>
        <v>101324.99999857435</v>
      </c>
    </row>
    <row r="1199" spans="1:7" x14ac:dyDescent="0.25">
      <c r="A1199">
        <v>3597</v>
      </c>
      <c r="B1199" s="3">
        <v>0</v>
      </c>
      <c r="C1199" s="3">
        <f>B1199*$K$4</f>
        <v>0</v>
      </c>
      <c r="D1199" s="3">
        <f>(E1198/$K$1)*$K$2*1</f>
        <v>4.9427470930411706E-6</v>
      </c>
      <c r="E1199" s="3">
        <f t="shared" si="36"/>
        <v>6.0849018828485304E-4</v>
      </c>
      <c r="F1199" s="3">
        <f>E1199/$K$1</f>
        <v>7.5429551045599734E-5</v>
      </c>
      <c r="G1199" s="5">
        <f t="shared" si="37"/>
        <v>101324.99999857435</v>
      </c>
    </row>
    <row r="1200" spans="1:7" x14ac:dyDescent="0.25">
      <c r="A1200">
        <v>3598</v>
      </c>
      <c r="B1200" s="3">
        <v>0</v>
      </c>
      <c r="C1200" s="3">
        <f>B1200*$K$4</f>
        <v>0</v>
      </c>
      <c r="D1200" s="3">
        <f>(E1199/$K$1)*$K$2*1</f>
        <v>4.9029208179639825E-6</v>
      </c>
      <c r="E1200" s="3">
        <f t="shared" si="36"/>
        <v>6.0358726746688907E-4</v>
      </c>
      <c r="F1200" s="3">
        <f>E1200/$K$1</f>
        <v>7.4821776058868109E-5</v>
      </c>
      <c r="G1200" s="5">
        <f t="shared" si="37"/>
        <v>101324.99999857435</v>
      </c>
    </row>
    <row r="1201" spans="1:7" x14ac:dyDescent="0.25">
      <c r="A1201">
        <v>3599</v>
      </c>
      <c r="B1201" s="3">
        <v>0</v>
      </c>
      <c r="C1201" s="3">
        <f>B1201*$K$4</f>
        <v>0</v>
      </c>
      <c r="D1201" s="3">
        <f>(E1200/$K$1)*$K$2*1</f>
        <v>4.8634154438264273E-6</v>
      </c>
      <c r="E1201" s="3">
        <f t="shared" si="36"/>
        <v>5.9872385202306268E-4</v>
      </c>
      <c r="F1201" s="3">
        <f>E1201/$K$1</f>
        <v>7.4218898230204869E-5</v>
      </c>
      <c r="G1201" s="5">
        <f t="shared" si="37"/>
        <v>101324.99999857435</v>
      </c>
    </row>
    <row r="1202" spans="1:7" x14ac:dyDescent="0.25">
      <c r="A1202">
        <v>3600</v>
      </c>
      <c r="B1202" s="3">
        <v>0</v>
      </c>
      <c r="C1202" s="3">
        <f>B1202*$K$4</f>
        <v>0</v>
      </c>
      <c r="D1202" s="3">
        <f>(E1201/$K$1)*$K$2*1</f>
        <v>4.824228384963317E-6</v>
      </c>
      <c r="E1202" s="3">
        <f t="shared" si="36"/>
        <v>5.9389962363809933E-4</v>
      </c>
      <c r="F1202" s="3">
        <f>E1202/$K$1</f>
        <v>7.3620878100669315E-5</v>
      </c>
      <c r="G1202" s="5">
        <f t="shared" si="37"/>
        <v>101324.99999857435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Lennard Rietkerk</dc:creator>
  <cp:lastModifiedBy>Lennard Rietkerk</cp:lastModifiedBy>
  <dcterms:created xsi:type="dcterms:W3CDTF">2026-07-20T08:57:23Z</dcterms:created>
  <dcterms:modified xsi:type="dcterms:W3CDTF">2026-07-21T08:14:00Z</dcterms:modified>
</cp:coreProperties>
</file>